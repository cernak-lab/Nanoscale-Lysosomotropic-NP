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oyuting/Desktop/1536 design/06. follow-up assay/round 3/secondary assay/"/>
    </mc:Choice>
  </mc:AlternateContent>
  <xr:revisionPtr revIDLastSave="0" documentId="13_ncr:1_{869CC08F-9ECC-8147-9FB1-3794993188BA}" xr6:coauthVersionLast="47" xr6:coauthVersionMax="47" xr10:uidLastSave="{00000000-0000-0000-0000-000000000000}"/>
  <bookViews>
    <workbookView xWindow="0" yWindow="760" windowWidth="28880" windowHeight="17720" activeTab="6" xr2:uid="{00000000-000D-0000-FFFF-FFFF00000000}"/>
  </bookViews>
  <sheets>
    <sheet name="Plate 1 - Sheet1" sheetId="1" r:id="rId1"/>
    <sheet name="Sheet1" sheetId="2" r:id="rId2"/>
    <sheet name="Plate 2 - Sheet1" sheetId="3" r:id="rId3"/>
    <sheet name="Sheet3" sheetId="4" r:id="rId4"/>
    <sheet name="Plate 3 - Sheet1" sheetId="5" r:id="rId5"/>
    <sheet name="Sheet5" sheetId="6" r:id="rId6"/>
    <sheet name="calculation" sheetId="8" r:id="rId7"/>
  </sheets>
  <definedNames>
    <definedName name="MethodPointer1">171246640</definedName>
    <definedName name="MethodPointer2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8" l="1"/>
  <c r="F42" i="1"/>
  <c r="I31" i="8"/>
  <c r="I30" i="8"/>
  <c r="I28" i="8"/>
  <c r="I26" i="8"/>
  <c r="I25" i="8"/>
  <c r="I38" i="3"/>
  <c r="I39" i="3"/>
  <c r="I40" i="3"/>
  <c r="I41" i="3"/>
  <c r="I42" i="3"/>
  <c r="I43" i="3"/>
  <c r="I37" i="3"/>
  <c r="N32" i="8"/>
  <c r="M32" i="8"/>
  <c r="L32" i="8"/>
  <c r="K26" i="8"/>
  <c r="L26" i="8"/>
  <c r="M26" i="8"/>
  <c r="N26" i="8"/>
  <c r="K27" i="8"/>
  <c r="L27" i="8"/>
  <c r="M27" i="8"/>
  <c r="N27" i="8"/>
  <c r="K28" i="8"/>
  <c r="L28" i="8"/>
  <c r="M28" i="8"/>
  <c r="N28" i="8"/>
  <c r="K29" i="8"/>
  <c r="L29" i="8"/>
  <c r="M29" i="8"/>
  <c r="N29" i="8"/>
  <c r="K30" i="8"/>
  <c r="L30" i="8"/>
  <c r="M30" i="8"/>
  <c r="N30" i="8"/>
  <c r="K31" i="8"/>
  <c r="L31" i="8"/>
  <c r="M31" i="8"/>
  <c r="N31" i="8"/>
  <c r="L25" i="8"/>
  <c r="M25" i="8"/>
  <c r="N25" i="8"/>
  <c r="K25" i="8"/>
  <c r="H32" i="8"/>
  <c r="G26" i="8"/>
  <c r="H26" i="8"/>
  <c r="J26" i="8"/>
  <c r="G27" i="8"/>
  <c r="H27" i="8"/>
  <c r="I27" i="8"/>
  <c r="J27" i="8"/>
  <c r="G28" i="8"/>
  <c r="H28" i="8"/>
  <c r="J28" i="8"/>
  <c r="G29" i="8"/>
  <c r="H29" i="8"/>
  <c r="I29" i="8"/>
  <c r="J29" i="8"/>
  <c r="G30" i="8"/>
  <c r="H30" i="8"/>
  <c r="J30" i="8"/>
  <c r="G31" i="8"/>
  <c r="H31" i="8"/>
  <c r="J31" i="8"/>
  <c r="H25" i="8"/>
  <c r="J25" i="8"/>
  <c r="G25" i="8"/>
  <c r="F32" i="8"/>
  <c r="E32" i="8"/>
  <c r="D32" i="8"/>
  <c r="D25" i="8"/>
  <c r="E25" i="8"/>
  <c r="F25" i="8"/>
  <c r="D26" i="8"/>
  <c r="E26" i="8"/>
  <c r="F26" i="8"/>
  <c r="D27" i="8"/>
  <c r="E27" i="8"/>
  <c r="F27" i="8"/>
  <c r="D28" i="8"/>
  <c r="E28" i="8"/>
  <c r="F28" i="8"/>
  <c r="D29" i="8"/>
  <c r="E29" i="8"/>
  <c r="F29" i="8"/>
  <c r="E30" i="8"/>
  <c r="F30" i="8"/>
  <c r="D31" i="8"/>
  <c r="E31" i="8"/>
  <c r="F31" i="8"/>
  <c r="C26" i="8"/>
  <c r="C27" i="8"/>
  <c r="C28" i="8"/>
  <c r="C29" i="8"/>
  <c r="C30" i="8"/>
  <c r="C31" i="8"/>
  <c r="C25" i="8"/>
  <c r="L44" i="5" l="1"/>
  <c r="I44" i="5"/>
  <c r="F44" i="5"/>
  <c r="C44" i="5"/>
  <c r="L43" i="5"/>
  <c r="I43" i="5"/>
  <c r="F43" i="5"/>
  <c r="C43" i="5"/>
  <c r="L42" i="5"/>
  <c r="I42" i="5"/>
  <c r="F42" i="5"/>
  <c r="C42" i="5"/>
  <c r="L41" i="5"/>
  <c r="I41" i="5"/>
  <c r="F41" i="5"/>
  <c r="C41" i="5"/>
  <c r="L40" i="5"/>
  <c r="I40" i="5"/>
  <c r="F40" i="5"/>
  <c r="C40" i="5"/>
  <c r="L39" i="5"/>
  <c r="I39" i="5"/>
  <c r="F39" i="5"/>
  <c r="C39" i="5"/>
  <c r="L38" i="5"/>
  <c r="I38" i="5"/>
  <c r="F38" i="5"/>
  <c r="C38" i="5"/>
  <c r="L37" i="5"/>
  <c r="I37" i="5"/>
  <c r="F37" i="5"/>
  <c r="C37" i="5"/>
  <c r="L44" i="3"/>
  <c r="I44" i="3"/>
  <c r="F44" i="3"/>
  <c r="C44" i="3"/>
  <c r="L43" i="3"/>
  <c r="F43" i="3"/>
  <c r="C43" i="3"/>
  <c r="L42" i="3"/>
  <c r="F42" i="3"/>
  <c r="C42" i="3"/>
  <c r="L41" i="3"/>
  <c r="F41" i="3"/>
  <c r="C41" i="3"/>
  <c r="L40" i="3"/>
  <c r="F40" i="3"/>
  <c r="C40" i="3"/>
  <c r="L39" i="3"/>
  <c r="F39" i="3"/>
  <c r="C39" i="3"/>
  <c r="L38" i="3"/>
  <c r="F38" i="3"/>
  <c r="C38" i="3"/>
  <c r="L37" i="3"/>
  <c r="F37" i="3"/>
  <c r="C37" i="3"/>
  <c r="L38" i="1"/>
  <c r="L39" i="1"/>
  <c r="L40" i="1"/>
  <c r="L41" i="1"/>
  <c r="L42" i="1"/>
  <c r="L43" i="1"/>
  <c r="L44" i="1"/>
  <c r="L37" i="1"/>
  <c r="I38" i="1"/>
  <c r="I39" i="1"/>
  <c r="I40" i="1"/>
  <c r="I41" i="1"/>
  <c r="I42" i="1"/>
  <c r="I43" i="1"/>
  <c r="I44" i="1"/>
  <c r="I37" i="1"/>
  <c r="F38" i="1"/>
  <c r="F39" i="1"/>
  <c r="F40" i="1"/>
  <c r="F41" i="1"/>
  <c r="F43" i="1"/>
  <c r="F44" i="1"/>
  <c r="F37" i="1"/>
  <c r="C38" i="1"/>
  <c r="C39" i="1"/>
  <c r="C40" i="1"/>
  <c r="C41" i="1"/>
  <c r="C42" i="1"/>
  <c r="C43" i="1"/>
  <c r="C44" i="1"/>
  <c r="C37" i="1"/>
</calcChain>
</file>

<file path=xl/sharedStrings.xml><?xml version="1.0" encoding="utf-8"?>
<sst xmlns="http://schemas.openxmlformats.org/spreadsheetml/2006/main" count="606" uniqueCount="269">
  <si>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</si>
  <si>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</si>
  <si>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</si>
  <si>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</si>
  <si>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</si>
  <si>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</si>
  <si>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</si>
  <si>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</si>
  <si>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</si>
  <si>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</si>
  <si>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</si>
  <si>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</si>
  <si>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</si>
  <si>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</si>
  <si>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</si>
  <si>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</si>
  <si>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</si>
  <si>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Shake</t>
  </si>
  <si>
    <t>Orbital: 0:05 (MM:SS)</t>
  </si>
  <si>
    <t>Frequency: 282 cpm (3 mm)</t>
  </si>
  <si>
    <t>Read</t>
  </si>
  <si>
    <t>Absorbance Endpoint</t>
  </si>
  <si>
    <t>Full Plate</t>
  </si>
  <si>
    <t>Wavelengths:  450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</si>
  <si>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</si>
  <si>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</si>
  <si>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</si>
  <si>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</si>
  <si>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</si>
  <si>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</si>
  <si>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</si>
  <si>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</si>
  <si>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</si>
  <si>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</si>
  <si>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</si>
  <si>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</si>
  <si>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</si>
  <si>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</si>
  <si>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</si>
  <si>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</si>
  <si>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</si>
  <si>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</si>
  <si>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</si>
  <si>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</si>
  <si>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</si>
  <si>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</si>
  <si>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</si>
  <si>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</si>
  <si>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</si>
  <si>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</si>
  <si>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</si>
  <si>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</si>
  <si>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</si>
  <si>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</si>
  <si>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</si>
  <si>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</si>
  <si>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</si>
  <si>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</si>
  <si>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</si>
  <si>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</si>
  <si>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</si>
  <si>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</si>
  <si>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</si>
  <si>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</si>
  <si>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</si>
  <si>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</si>
  <si>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</si>
  <si>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</si>
  <si>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</si>
  <si>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</si>
  <si>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</si>
  <si>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</si>
  <si>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</si>
  <si>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</si>
  <si>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</si>
  <si>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</si>
  <si>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</si>
  <si>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</si>
  <si>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</si>
  <si>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</si>
  <si>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</si>
  <si>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</si>
  <si>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</si>
  <si>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</si>
  <si>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</si>
  <si>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</si>
  <si>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</si>
  <si>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</si>
  <si>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</si>
  <si>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</si>
  <si>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</si>
  <si>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</si>
  <si>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</si>
  <si>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</si>
  <si>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</si>
  <si>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</si>
  <si>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</si>
  <si>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</si>
  <si>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</si>
  <si>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</si>
  <si>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</si>
  <si>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</si>
  <si>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</si>
  <si>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</si>
  <si>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</si>
  <si>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</si>
  <si>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</si>
  <si>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</si>
  <si>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</si>
  <si>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</si>
  <si>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</si>
  <si>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</si>
  <si>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</si>
  <si>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</si>
  <si>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</si>
  <si>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</si>
  <si>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</si>
  <si>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</si>
  <si>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</si>
  <si>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</si>
  <si>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</si>
  <si>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</si>
  <si>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</si>
  <si>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</si>
  <si>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</si>
  <si>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</si>
  <si>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</si>
  <si>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</si>
  <si>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</si>
  <si>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</si>
  <si>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</si>
  <si>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</si>
  <si>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Plate 2</t>
  </si>
  <si>
    <t>Plate 3</t>
  </si>
  <si>
    <t>experimental</t>
  </si>
  <si>
    <t>L1A13</t>
  </si>
  <si>
    <t>L1F2</t>
  </si>
  <si>
    <t>L1H3</t>
  </si>
  <si>
    <t>L1K1</t>
  </si>
  <si>
    <t>L1A14</t>
  </si>
  <si>
    <t>L1F5</t>
  </si>
  <si>
    <t>L1I1</t>
  </si>
  <si>
    <t>L1K6</t>
  </si>
  <si>
    <t>L1B1</t>
  </si>
  <si>
    <t>L1G1</t>
  </si>
  <si>
    <t>L1I2</t>
  </si>
  <si>
    <t>L1L1</t>
  </si>
  <si>
    <t>L1B13</t>
  </si>
  <si>
    <t>L1G3</t>
  </si>
  <si>
    <t>L1I3</t>
  </si>
  <si>
    <t>L1L6</t>
  </si>
  <si>
    <t>L1C1</t>
  </si>
  <si>
    <t>L1G5</t>
  </si>
  <si>
    <t>L1I6</t>
  </si>
  <si>
    <t>L1M1</t>
  </si>
  <si>
    <t>L1D1</t>
  </si>
  <si>
    <t>L1H1</t>
  </si>
  <si>
    <t>L1J1</t>
  </si>
  <si>
    <t>L1N1</t>
  </si>
  <si>
    <t>L1E1</t>
  </si>
  <si>
    <t>L1H2</t>
  </si>
  <si>
    <t>L1J4</t>
  </si>
  <si>
    <t>L1N3</t>
  </si>
  <si>
    <t>DMSO</t>
  </si>
  <si>
    <t>L1B11</t>
  </si>
  <si>
    <t>L1B23</t>
  </si>
  <si>
    <t>L3B11</t>
  </si>
  <si>
    <t>average</t>
  </si>
  <si>
    <t xml:space="preserve"> Source plate map-96 </t>
  </si>
  <si>
    <t>aliquot 10 µL</t>
  </si>
  <si>
    <t>v2</t>
  </si>
  <si>
    <t>Source plate</t>
  </si>
  <si>
    <t>L1N6</t>
  </si>
  <si>
    <t>L2A1</t>
  </si>
  <si>
    <t>L2C1</t>
  </si>
  <si>
    <t>L2E7</t>
  </si>
  <si>
    <t>L2G7</t>
  </si>
  <si>
    <t>L2J2</t>
  </si>
  <si>
    <t>L2N8</t>
  </si>
  <si>
    <t>L4B5</t>
  </si>
  <si>
    <t>L1O3</t>
  </si>
  <si>
    <t>L2A7</t>
  </si>
  <si>
    <t>L2C7</t>
  </si>
  <si>
    <t>L2F1</t>
  </si>
  <si>
    <t>L2H2</t>
  </si>
  <si>
    <t>L2J3</t>
  </si>
  <si>
    <t>L2O6</t>
  </si>
  <si>
    <t>L4B7</t>
  </si>
  <si>
    <t>L1O7</t>
  </si>
  <si>
    <t>L2A13</t>
  </si>
  <si>
    <t>L2C13</t>
  </si>
  <si>
    <t>L2F2</t>
  </si>
  <si>
    <t>L2H3</t>
  </si>
  <si>
    <t>L2K5</t>
  </si>
  <si>
    <t>L2O7</t>
  </si>
  <si>
    <t>L4C9</t>
  </si>
  <si>
    <t>L1P1</t>
  </si>
  <si>
    <t>L2B1</t>
  </si>
  <si>
    <t>L2D2</t>
  </si>
  <si>
    <t>L2F5</t>
  </si>
  <si>
    <t>L2I2</t>
  </si>
  <si>
    <t>L2L2</t>
  </si>
  <si>
    <t>L3F5</t>
  </si>
  <si>
    <t>L4E2</t>
  </si>
  <si>
    <t>L1P2</t>
  </si>
  <si>
    <t>L2B5</t>
  </si>
  <si>
    <t>L2D3</t>
  </si>
  <si>
    <t>L2G2</t>
  </si>
  <si>
    <t>L2I4</t>
  </si>
  <si>
    <t>L2L6</t>
  </si>
  <si>
    <t>L3G5</t>
  </si>
  <si>
    <t>L4I1</t>
  </si>
  <si>
    <t>L1P3</t>
  </si>
  <si>
    <t>L2B6</t>
  </si>
  <si>
    <t>L2D5</t>
  </si>
  <si>
    <t>L2G3</t>
  </si>
  <si>
    <t>L2I6</t>
  </si>
  <si>
    <t>L2N3</t>
  </si>
  <si>
    <t>L3I6</t>
  </si>
  <si>
    <t>L4L6</t>
  </si>
  <si>
    <t>L1P7</t>
  </si>
  <si>
    <t>L2B7</t>
  </si>
  <si>
    <t>L2E2</t>
  </si>
  <si>
    <t>L2G5</t>
  </si>
  <si>
    <t>L2J1</t>
  </si>
  <si>
    <t>L2N6</t>
  </si>
  <si>
    <t>L3N6</t>
  </si>
  <si>
    <t>L4N3</t>
  </si>
  <si>
    <t>L1P8</t>
  </si>
  <si>
    <t>L3B23</t>
  </si>
  <si>
    <t>L4O6</t>
  </si>
  <si>
    <t>L4O18</t>
  </si>
  <si>
    <t>Inhibition %</t>
  </si>
  <si>
    <t>Data Analysis</t>
  </si>
  <si>
    <t>There are several ways to do statistical analysis. You can choose to use O.D. values or cell numbers. We offer one of them.</t>
  </si>
  <si>
    <t>Cell viability (%) = [(As-Ab) / (Ac-Ab)] × 100</t>
  </si>
  <si>
    <t>Inhibition rate (%) = [(Ac-As) / (Ac-Ab)] × 100</t>
  </si>
  <si>
    <t>As = absorbance of the experimental well (absorbance of cells, medium, CCK8 and wells of the test compound).</t>
  </si>
  <si>
    <t>Ab = blank well absorbance (absorbance of wells containing medium and CCK8).</t>
  </si>
  <si>
    <t>Ac = control well absorbance (absorbance of wells containing cells, medium and CCK8)</t>
  </si>
  <si>
    <t>n=2</t>
  </si>
  <si>
    <t>Inhibition %&gt;15 as hit</t>
  </si>
  <si>
    <t>2 µM</t>
  </si>
  <si>
    <t>Data File</t>
  </si>
  <si>
    <t>product smiles</t>
  </si>
  <si>
    <t>cernak-2024-q3_ykao_yk-1536-4-make-product_1_c1_1_b1.raw</t>
  </si>
  <si>
    <t>COc1ccc(CNC[C@]2(C)CCC[C@]3(C)c4ccc(C(C)C)cc4CC[C@@H]23)cc1</t>
  </si>
  <si>
    <t>cernak-2024-q3_ykao_yk-1536-4-make-product_1_i1_1_e1.raw</t>
  </si>
  <si>
    <t>Cc1ccc([N+](=O)[O-])c(CNC[C@]2(C)CCC[C@]3(C)c4ccc(C(C)C)cc4CC[C@@H]23)c1</t>
  </si>
  <si>
    <t>cernak-2024-q3_ykao_yk-1536-4-make-product_1_k2_1_f2.raw</t>
  </si>
  <si>
    <t>CC(C)c1ccc2c(c1)CC[C@H]1[C@](C)(CNCc3c(F)cccc3I)CCC[C@]21C</t>
  </si>
  <si>
    <t>cernak-2024-q3_ykao_yk-1536-4-make-product_1_k5_1_f5.raw</t>
  </si>
  <si>
    <t>CC(C)c1ccc2c(c1)CC[C@H]1[C@](C)(CNCc3c[nH]c4ccccc34)CCC[C@]21C</t>
  </si>
  <si>
    <t>cernak-2024-q3_ykao_yk-1536-4-make-product_1_b1_2_a1.raw</t>
  </si>
  <si>
    <t>CC(C)c1ccc2c(c1)CC[C@H]1[C@](C)(CNCc3cc(Cl)ncc3C(F)(F)F)CCC[C@]21C</t>
  </si>
  <si>
    <t>cernak-2024-q3_ykao_yk-1536-4-make-product_1_b7_2_a7.raw</t>
  </si>
  <si>
    <t>COc1cc(CNC[C@]2(C)CCC[C@]3(C)c4ccc(C(C)C)cc4CC[C@@H]23)ccc1O</t>
  </si>
  <si>
    <t>cernak-2024-q3_ykao_yk-1536-4-make-product_1_d6_2_b6.raw</t>
  </si>
  <si>
    <t>COc1ccc2cc(CNC[C@]3(C)CCC[C@]4(C)c5ccc(C(C)C)cc5CC[C@@H]34)ccc2c1</t>
  </si>
  <si>
    <t>cernak-2024-q3_ykao_yk-1536-4-make-product_1_d7_2_b7.raw</t>
  </si>
  <si>
    <t>Cc1ccc(C(O)CNC[C@]2(C)CCC[C@]3(C)c4ccc(C(C)C)cc4CC[C@@H]23)cc1</t>
  </si>
  <si>
    <t>cernak-2024-q3_ykao_yk-1536-4-make-product_1_f1_2_c1.raw</t>
  </si>
  <si>
    <t>CC(C)c1ccc2c(c1)CC[C@H]1[C@](C)(CNCc3cn(C)c4ccccc34)CCC[C@]21C</t>
  </si>
  <si>
    <t>cernak-2024-q3_ykao_yk-1536-4-make-product_1_f7_2_c7.raw</t>
  </si>
  <si>
    <t>COc1ccc(C=CCNC[C@]2(C)CCC[C@]3(C)c4ccc(C(C)C)cc4CC[C@@H]23)cc1OC</t>
  </si>
  <si>
    <t>cernak-2024-q3_ykao_yk-1536-4-make-product_1_ad6_2_o6.raw</t>
  </si>
  <si>
    <t>CC(C)c1ccc2c(c1)CC[C@H]1[C@](C)(CNCC=Cc3c[nH]c4ccccc34)CCC[C@]21C</t>
  </si>
  <si>
    <t>cernak-2024-q3_ykao_yk-1536-4-make-product_1_ad30_4_o6.raw</t>
  </si>
  <si>
    <t>CC(C)C1=CC2=CCC3[C@](C)(CNCC=Cc4c[nH]c5ccccc45)CCC[C@]3(C)C2CC1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</si>
</sst>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0" xfId="0" applyFont="1"/>
    <xf numFmtId="0" fontId="6" fillId="0" borderId="0" xfId="0" applyFont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6" fillId="19" borderId="2" xfId="0" applyFont="1" applyFill="1" applyBorder="1" applyAlignment="1">
      <alignment horizontal="center"/>
    </xf>
    <xf numFmtId="0" fontId="7" fillId="19" borderId="2" xfId="0" applyFont="1" applyFill="1" applyBorder="1" applyAlignment="1">
      <alignment horizontal="center"/>
    </xf>
    <xf numFmtId="0" fontId="6" fillId="20" borderId="2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2" fontId="0" fillId="22" borderId="0" xfId="0" applyNumberFormat="1" applyFill="1"/>
    <xf numFmtId="0" fontId="9" fillId="0" borderId="0" xfId="0" applyFont="1"/>
    <xf numFmtId="0" fontId="1" fillId="0" borderId="0" xfId="0" applyFont="1"/>
    <xf numFmtId="0" fontId="8" fillId="0" borderId="0" xfId="0" applyFont="1"/>
    <xf numFmtId="2" fontId="6" fillId="0" borderId="0" xfId="0" applyNumberFormat="1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3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4"/>
  <sheetViews>
    <sheetView topLeftCell="A11" workbookViewId="0">
      <selection activeCell="F42" sqref="F42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</row>
    <row r="5" spans="1:2" x14ac:dyDescent="0.15">
      <c r="A5" t="s">
        <v>3</v>
      </c>
    </row>
    <row r="6" spans="1:2" x14ac:dyDescent="0.15">
      <c r="A6" t="s">
        <v>4</v>
      </c>
      <c r="B6" t="s">
        <v>5</v>
      </c>
    </row>
    <row r="7" spans="1:2" x14ac:dyDescent="0.15">
      <c r="A7" t="s">
        <v>6</v>
      </c>
      <c r="B7" s="1">
        <v>45617</v>
      </c>
    </row>
    <row r="8" spans="1:2" x14ac:dyDescent="0.15">
      <c r="A8" t="s">
        <v>7</v>
      </c>
      <c r="B8" s="2">
        <v>0.60754629629629631</v>
      </c>
    </row>
    <row r="9" spans="1:2" x14ac:dyDescent="0.15">
      <c r="A9" t="s">
        <v>8</v>
      </c>
      <c r="B9" t="s">
        <v>9</v>
      </c>
    </row>
    <row r="10" spans="1:2" x14ac:dyDescent="0.15">
      <c r="A10" t="s">
        <v>10</v>
      </c>
      <c r="B10">
        <v>1909168</v>
      </c>
    </row>
    <row r="11" spans="1:2" x14ac:dyDescent="0.15">
      <c r="A11" t="s">
        <v>11</v>
      </c>
      <c r="B11" t="s">
        <v>12</v>
      </c>
    </row>
    <row r="13" spans="1:2" ht="14" x14ac:dyDescent="0.15">
      <c r="A13" s="3" t="s">
        <v>13</v>
      </c>
      <c r="B13" s="4"/>
    </row>
    <row r="14" spans="1:2" x14ac:dyDescent="0.15">
      <c r="A14" t="s">
        <v>14</v>
      </c>
      <c r="B14" t="s">
        <v>15</v>
      </c>
    </row>
    <row r="15" spans="1:2" x14ac:dyDescent="0.15">
      <c r="A15" t="s">
        <v>16</v>
      </c>
    </row>
    <row r="16" spans="1:2" x14ac:dyDescent="0.15">
      <c r="A16" t="s">
        <v>17</v>
      </c>
      <c r="B16" t="s">
        <v>18</v>
      </c>
    </row>
    <row r="17" spans="1:15" x14ac:dyDescent="0.15">
      <c r="B17" t="s">
        <v>19</v>
      </c>
    </row>
    <row r="18" spans="1:15" x14ac:dyDescent="0.15">
      <c r="A18" t="s">
        <v>20</v>
      </c>
      <c r="B18" t="s">
        <v>21</v>
      </c>
    </row>
    <row r="19" spans="1:15" x14ac:dyDescent="0.15">
      <c r="B19" t="s">
        <v>22</v>
      </c>
    </row>
    <row r="20" spans="1:15" x14ac:dyDescent="0.15">
      <c r="B20" t="s">
        <v>23</v>
      </c>
    </row>
    <row r="21" spans="1:15" x14ac:dyDescent="0.15">
      <c r="B21" t="s">
        <v>24</v>
      </c>
    </row>
    <row r="23" spans="1:15" ht="14" x14ac:dyDescent="0.15">
      <c r="A23" s="3" t="s">
        <v>25</v>
      </c>
      <c r="B23" s="4"/>
    </row>
    <row r="24" spans="1:15" x14ac:dyDescent="0.15">
      <c r="A24" t="s">
        <v>26</v>
      </c>
      <c r="B24">
        <v>21.3</v>
      </c>
    </row>
    <row r="26" spans="1:15" ht="14" x14ac:dyDescent="0.15">
      <c r="B26" s="5" t="s">
        <v>134</v>
      </c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</row>
    <row r="27" spans="1:15" ht="14" x14ac:dyDescent="0.15">
      <c r="B27" s="6" t="s">
        <v>27</v>
      </c>
      <c r="C27" s="7">
        <v>0.88200000000000001</v>
      </c>
      <c r="D27" s="8">
        <v>0.81899999999999995</v>
      </c>
      <c r="E27" s="9">
        <v>0.91500000000000004</v>
      </c>
      <c r="F27" s="10">
        <v>0.6</v>
      </c>
      <c r="G27" s="8">
        <v>0.77600000000000002</v>
      </c>
      <c r="H27" s="11">
        <v>0.75800000000000001</v>
      </c>
      <c r="I27" s="11">
        <v>0.71599999999999997</v>
      </c>
      <c r="J27" s="12">
        <v>0.98099999999999998</v>
      </c>
      <c r="K27" s="10">
        <v>0.61399999999999999</v>
      </c>
      <c r="L27" s="7">
        <v>0.87</v>
      </c>
      <c r="M27" s="8">
        <v>0.79200000000000004</v>
      </c>
      <c r="N27" s="9">
        <v>0.92500000000000004</v>
      </c>
      <c r="O27" s="13">
        <v>450</v>
      </c>
    </row>
    <row r="28" spans="1:15" ht="14" x14ac:dyDescent="0.15">
      <c r="B28" s="6" t="s">
        <v>28</v>
      </c>
      <c r="C28" s="8">
        <v>0.82199999999999995</v>
      </c>
      <c r="D28" s="8">
        <v>0.78400000000000003</v>
      </c>
      <c r="E28" s="9">
        <v>0.89700000000000002</v>
      </c>
      <c r="F28" s="14">
        <v>0.54100000000000004</v>
      </c>
      <c r="G28" s="11">
        <v>0.71399999999999997</v>
      </c>
      <c r="H28" s="11">
        <v>0.72199999999999998</v>
      </c>
      <c r="I28" s="15">
        <v>0.63800000000000001</v>
      </c>
      <c r="J28" s="16">
        <v>1.163</v>
      </c>
      <c r="K28" s="10">
        <v>0.59699999999999998</v>
      </c>
      <c r="L28" s="7">
        <v>0.83299999999999996</v>
      </c>
      <c r="M28" s="11">
        <v>0.70499999999999996</v>
      </c>
      <c r="N28" s="11">
        <v>0.753</v>
      </c>
      <c r="O28" s="13">
        <v>450</v>
      </c>
    </row>
    <row r="29" spans="1:15" ht="14" x14ac:dyDescent="0.15">
      <c r="B29" s="6" t="s">
        <v>29</v>
      </c>
      <c r="C29" s="17">
        <v>0.39700000000000002</v>
      </c>
      <c r="D29" s="18">
        <v>0.42699999999999999</v>
      </c>
      <c r="E29" s="9">
        <v>0.9</v>
      </c>
      <c r="F29" s="9">
        <v>0.91500000000000004</v>
      </c>
      <c r="G29" s="9">
        <v>0.94599999999999995</v>
      </c>
      <c r="H29" s="12">
        <v>0.99399999999999999</v>
      </c>
      <c r="I29" s="7">
        <v>0.84099999999999997</v>
      </c>
      <c r="J29" s="19">
        <v>1.179</v>
      </c>
      <c r="K29" s="10">
        <v>0.61</v>
      </c>
      <c r="L29" s="16">
        <v>1.1160000000000001</v>
      </c>
      <c r="M29" s="8">
        <v>0.78100000000000003</v>
      </c>
      <c r="N29" s="7">
        <v>0.84899999999999998</v>
      </c>
      <c r="O29" s="13">
        <v>450</v>
      </c>
    </row>
    <row r="30" spans="1:15" ht="14" x14ac:dyDescent="0.15">
      <c r="B30" s="6" t="s">
        <v>30</v>
      </c>
      <c r="C30" s="7">
        <v>0.86</v>
      </c>
      <c r="D30" s="8">
        <v>0.78700000000000003</v>
      </c>
      <c r="E30" s="12">
        <v>1.0169999999999999</v>
      </c>
      <c r="F30" s="15">
        <v>0.67700000000000005</v>
      </c>
      <c r="G30" s="15">
        <v>0.69099999999999995</v>
      </c>
      <c r="H30" s="9">
        <v>0.90200000000000002</v>
      </c>
      <c r="I30" s="8">
        <v>0.76500000000000001</v>
      </c>
      <c r="J30" s="19">
        <v>1.2090000000000001</v>
      </c>
      <c r="K30" s="15">
        <v>0.629</v>
      </c>
      <c r="L30" s="12">
        <v>1.008</v>
      </c>
      <c r="M30" s="11">
        <v>0.74299999999999999</v>
      </c>
      <c r="N30" s="7">
        <v>0.84</v>
      </c>
      <c r="O30" s="13">
        <v>450</v>
      </c>
    </row>
    <row r="31" spans="1:15" ht="14" x14ac:dyDescent="0.15">
      <c r="B31" s="6" t="s">
        <v>31</v>
      </c>
      <c r="C31" s="9">
        <v>0.89600000000000002</v>
      </c>
      <c r="D31" s="11">
        <v>0.746</v>
      </c>
      <c r="E31" s="20">
        <v>1.0940000000000001</v>
      </c>
      <c r="F31" s="9">
        <v>0.94699999999999995</v>
      </c>
      <c r="G31" s="11">
        <v>0.69799999999999995</v>
      </c>
      <c r="H31" s="12">
        <v>1.008</v>
      </c>
      <c r="I31" s="12">
        <v>0.98899999999999999</v>
      </c>
      <c r="J31" s="19">
        <v>1.23</v>
      </c>
      <c r="K31" s="10">
        <v>0.60899999999999999</v>
      </c>
      <c r="L31" s="12">
        <v>1.01</v>
      </c>
      <c r="M31" s="10">
        <v>0.58799999999999997</v>
      </c>
      <c r="N31" s="7">
        <v>0.88400000000000001</v>
      </c>
      <c r="O31" s="13">
        <v>450</v>
      </c>
    </row>
    <row r="32" spans="1:15" ht="14" x14ac:dyDescent="0.15">
      <c r="B32" s="6" t="s">
        <v>32</v>
      </c>
      <c r="C32" s="7">
        <v>0.89400000000000002</v>
      </c>
      <c r="D32" s="7">
        <v>0.86299999999999999</v>
      </c>
      <c r="E32" s="16">
        <v>1.1180000000000001</v>
      </c>
      <c r="F32" s="9">
        <v>0.92400000000000004</v>
      </c>
      <c r="G32" s="21">
        <v>0.33400000000000002</v>
      </c>
      <c r="H32" s="11">
        <v>0.75900000000000001</v>
      </c>
      <c r="I32" s="20">
        <v>1.0409999999999999</v>
      </c>
      <c r="J32" s="19">
        <v>1.181</v>
      </c>
      <c r="K32" s="15">
        <v>0.65700000000000003</v>
      </c>
      <c r="L32" s="12">
        <v>0.97099999999999997</v>
      </c>
      <c r="M32" s="11">
        <v>0.71499999999999997</v>
      </c>
      <c r="N32" s="9">
        <v>0.91800000000000004</v>
      </c>
      <c r="O32" s="13">
        <v>450</v>
      </c>
    </row>
    <row r="33" spans="2:15" ht="14" x14ac:dyDescent="0.15">
      <c r="B33" s="6" t="s">
        <v>33</v>
      </c>
      <c r="C33" s="21">
        <v>0.34599999999999997</v>
      </c>
      <c r="D33" s="21">
        <v>0.28999999999999998</v>
      </c>
      <c r="E33" s="14">
        <v>0.504</v>
      </c>
      <c r="F33" s="7">
        <v>0.88300000000000001</v>
      </c>
      <c r="G33" s="15">
        <v>0.69</v>
      </c>
      <c r="H33" s="7">
        <v>0.875</v>
      </c>
      <c r="I33" s="9">
        <v>0.89900000000000002</v>
      </c>
      <c r="J33" s="20">
        <v>1.048</v>
      </c>
      <c r="K33" s="11">
        <v>0.71899999999999997</v>
      </c>
      <c r="L33" s="9">
        <v>0.90800000000000003</v>
      </c>
      <c r="M33" s="15">
        <v>0.68400000000000005</v>
      </c>
      <c r="N33" s="9">
        <v>0.95499999999999996</v>
      </c>
      <c r="O33" s="13">
        <v>450</v>
      </c>
    </row>
    <row r="34" spans="2:15" ht="14" x14ac:dyDescent="0.15">
      <c r="B34" s="6" t="s">
        <v>34</v>
      </c>
      <c r="C34" s="7">
        <v>0.88300000000000001</v>
      </c>
      <c r="D34" s="8">
        <v>0.80100000000000005</v>
      </c>
      <c r="E34" s="9">
        <v>0.90700000000000003</v>
      </c>
      <c r="F34" s="9">
        <v>0.92600000000000005</v>
      </c>
      <c r="G34" s="10">
        <v>0.59</v>
      </c>
      <c r="H34" s="8">
        <v>0.78500000000000003</v>
      </c>
      <c r="I34" s="9">
        <v>0.92800000000000005</v>
      </c>
      <c r="J34" s="12">
        <v>1.026</v>
      </c>
      <c r="K34" s="15">
        <v>0.627</v>
      </c>
      <c r="L34" s="9">
        <v>0.92600000000000005</v>
      </c>
      <c r="M34" s="11">
        <v>0.71199999999999997</v>
      </c>
      <c r="N34" s="12">
        <v>1.0049999999999999</v>
      </c>
      <c r="O34" s="13">
        <v>450</v>
      </c>
    </row>
    <row r="36" spans="2:15" ht="14" x14ac:dyDescent="0.15">
      <c r="B36" s="5" t="s">
        <v>167</v>
      </c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  <c r="I36" s="6">
        <v>7</v>
      </c>
      <c r="J36" s="6">
        <v>8</v>
      </c>
      <c r="K36" s="6">
        <v>9</v>
      </c>
      <c r="L36" s="6">
        <v>10</v>
      </c>
      <c r="M36" s="6">
        <v>11</v>
      </c>
      <c r="N36" s="6">
        <v>12</v>
      </c>
    </row>
    <row r="37" spans="2:15" ht="14" x14ac:dyDescent="0.15">
      <c r="B37" s="6" t="s">
        <v>27</v>
      </c>
      <c r="C37" s="45">
        <f>AVERAGE(C27:E27)</f>
        <v>0.872</v>
      </c>
      <c r="F37" s="45">
        <f>AVERAGE(F27:H27)</f>
        <v>0.71133333333333326</v>
      </c>
      <c r="I37" s="45">
        <f>AVERAGE(I27:K27)</f>
        <v>0.77033333333333331</v>
      </c>
      <c r="L37" s="45">
        <f>AVERAGE(L27:N27)</f>
        <v>0.86233333333333329</v>
      </c>
    </row>
    <row r="38" spans="2:15" ht="14" x14ac:dyDescent="0.15">
      <c r="B38" s="6" t="s">
        <v>28</v>
      </c>
      <c r="C38" s="45">
        <f t="shared" ref="C38:C44" si="0">AVERAGE(C28:E28)</f>
        <v>0.83433333333333337</v>
      </c>
      <c r="F38" s="45">
        <f t="shared" ref="F38:F44" si="1">AVERAGE(F28:H28)</f>
        <v>0.65899999999999992</v>
      </c>
      <c r="I38" s="45">
        <f t="shared" ref="I38:I44" si="2">AVERAGE(I28:K28)</f>
        <v>0.79933333333333334</v>
      </c>
      <c r="L38" s="45">
        <f t="shared" ref="L38:L44" si="3">AVERAGE(L28:N28)</f>
        <v>0.7636666666666666</v>
      </c>
    </row>
    <row r="39" spans="2:15" ht="14" x14ac:dyDescent="0.15">
      <c r="B39" s="6" t="s">
        <v>29</v>
      </c>
      <c r="C39" s="45">
        <f t="shared" si="0"/>
        <v>0.57466666666666677</v>
      </c>
      <c r="F39" s="45">
        <f t="shared" si="1"/>
        <v>0.95166666666666666</v>
      </c>
      <c r="I39" s="45">
        <f t="shared" si="2"/>
        <v>0.87666666666666659</v>
      </c>
      <c r="L39" s="45">
        <f t="shared" si="3"/>
        <v>0.91533333333333344</v>
      </c>
    </row>
    <row r="40" spans="2:15" ht="14" x14ac:dyDescent="0.15">
      <c r="B40" s="6" t="s">
        <v>30</v>
      </c>
      <c r="C40" s="45">
        <f t="shared" si="0"/>
        <v>0.8879999999999999</v>
      </c>
      <c r="F40" s="45">
        <f t="shared" si="1"/>
        <v>0.75666666666666671</v>
      </c>
      <c r="I40" s="45">
        <f t="shared" si="2"/>
        <v>0.8676666666666667</v>
      </c>
      <c r="L40" s="45">
        <f t="shared" si="3"/>
        <v>0.86366666666666658</v>
      </c>
    </row>
    <row r="41" spans="2:15" ht="14" x14ac:dyDescent="0.15">
      <c r="B41" s="6" t="s">
        <v>31</v>
      </c>
      <c r="C41" s="45">
        <f t="shared" si="0"/>
        <v>0.91199999999999992</v>
      </c>
      <c r="F41" s="45">
        <f t="shared" si="1"/>
        <v>0.8843333333333333</v>
      </c>
      <c r="I41" s="45">
        <f t="shared" si="2"/>
        <v>0.94266666666666665</v>
      </c>
      <c r="L41" s="45">
        <f t="shared" si="3"/>
        <v>0.82733333333333325</v>
      </c>
    </row>
    <row r="42" spans="2:15" ht="14" x14ac:dyDescent="0.15">
      <c r="B42" s="6" t="s">
        <v>32</v>
      </c>
      <c r="C42" s="45">
        <f t="shared" si="0"/>
        <v>0.95833333333333337</v>
      </c>
      <c r="F42" s="45">
        <f>(F32+H32)/2</f>
        <v>0.84150000000000003</v>
      </c>
      <c r="G42" s="58" t="s">
        <v>240</v>
      </c>
      <c r="I42" s="45">
        <f t="shared" si="2"/>
        <v>0.95966666666666667</v>
      </c>
      <c r="L42" s="45">
        <f t="shared" si="3"/>
        <v>0.86799999999999999</v>
      </c>
    </row>
    <row r="43" spans="2:15" ht="14" x14ac:dyDescent="0.15">
      <c r="B43" s="6" t="s">
        <v>33</v>
      </c>
      <c r="C43" s="45">
        <f t="shared" si="0"/>
        <v>0.37999999999999995</v>
      </c>
      <c r="F43" s="45">
        <f t="shared" si="1"/>
        <v>0.81599999999999995</v>
      </c>
      <c r="I43" s="45">
        <f t="shared" si="2"/>
        <v>0.8886666666666666</v>
      </c>
      <c r="L43" s="45">
        <f t="shared" si="3"/>
        <v>0.84900000000000009</v>
      </c>
    </row>
    <row r="44" spans="2:15" ht="14" x14ac:dyDescent="0.15">
      <c r="B44" s="6" t="s">
        <v>34</v>
      </c>
      <c r="C44" s="45">
        <f t="shared" si="0"/>
        <v>0.86366666666666669</v>
      </c>
      <c r="F44" s="45">
        <f t="shared" si="1"/>
        <v>0.76700000000000002</v>
      </c>
      <c r="I44" s="45">
        <f t="shared" si="2"/>
        <v>0.86033333333333351</v>
      </c>
      <c r="L44" s="45">
        <f t="shared" si="3"/>
        <v>0.88099999999999989</v>
      </c>
    </row>
  </sheetData>
  <phoneticPr fontId="0" type="noConversion"/>
  <pageMargins left="0.75" right="0.75" top="1" bottom="1" header="0.5" footer="0.5"/>
  <pageSetup paperSize="256" orientation="portrait" horizontalDpi="300" verticalDpi="30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7"/>
  <sheetViews>
    <sheetView workbookViewId="0">
      <selection sqref="A1:B97"/>
    </sheetView>
  </sheetViews>
  <sheetFormatPr baseColWidth="10" defaultColWidth="8.83203125" defaultRowHeight="13" x14ac:dyDescent="0.15"/>
  <sheetData>
    <row r="1" spans="1:2" ht="14" x14ac:dyDescent="0.15">
      <c r="A1" s="6" t="s">
        <v>35</v>
      </c>
      <c r="B1" s="6">
        <v>450</v>
      </c>
    </row>
    <row r="2" spans="1:2" ht="14" x14ac:dyDescent="0.15">
      <c r="A2" s="22" t="s">
        <v>36</v>
      </c>
      <c r="B2" s="22">
        <v>0.88200000000000001</v>
      </c>
    </row>
    <row r="3" spans="1:2" ht="14" x14ac:dyDescent="0.15">
      <c r="A3" s="22" t="s">
        <v>37</v>
      </c>
      <c r="B3" s="22">
        <v>0.82199999999999995</v>
      </c>
    </row>
    <row r="4" spans="1:2" ht="14" x14ac:dyDescent="0.15">
      <c r="A4" s="22" t="s">
        <v>38</v>
      </c>
      <c r="B4" s="22">
        <v>0.39700000000000002</v>
      </c>
    </row>
    <row r="5" spans="1:2" ht="14" x14ac:dyDescent="0.15">
      <c r="A5" s="22" t="s">
        <v>39</v>
      </c>
      <c r="B5" s="22">
        <v>0.86</v>
      </c>
    </row>
    <row r="6" spans="1:2" ht="14" x14ac:dyDescent="0.15">
      <c r="A6" s="22" t="s">
        <v>40</v>
      </c>
      <c r="B6" s="22">
        <v>0.89600000000000002</v>
      </c>
    </row>
    <row r="7" spans="1:2" ht="14" x14ac:dyDescent="0.15">
      <c r="A7" s="22" t="s">
        <v>41</v>
      </c>
      <c r="B7" s="22">
        <v>0.89400000000000002</v>
      </c>
    </row>
    <row r="8" spans="1:2" ht="14" x14ac:dyDescent="0.15">
      <c r="A8" s="22" t="s">
        <v>42</v>
      </c>
      <c r="B8" s="22">
        <v>0.34599999999999997</v>
      </c>
    </row>
    <row r="9" spans="1:2" ht="14" x14ac:dyDescent="0.15">
      <c r="A9" s="22" t="s">
        <v>43</v>
      </c>
      <c r="B9" s="22">
        <v>0.88300000000000001</v>
      </c>
    </row>
    <row r="10" spans="1:2" ht="14" x14ac:dyDescent="0.15">
      <c r="A10" s="22" t="s">
        <v>44</v>
      </c>
      <c r="B10" s="22">
        <v>0.81899999999999995</v>
      </c>
    </row>
    <row r="11" spans="1:2" ht="14" x14ac:dyDescent="0.15">
      <c r="A11" s="22" t="s">
        <v>45</v>
      </c>
      <c r="B11" s="22">
        <v>0.78400000000000003</v>
      </c>
    </row>
    <row r="12" spans="1:2" ht="14" x14ac:dyDescent="0.15">
      <c r="A12" s="22" t="s">
        <v>46</v>
      </c>
      <c r="B12" s="22">
        <v>0.42699999999999999</v>
      </c>
    </row>
    <row r="13" spans="1:2" ht="14" x14ac:dyDescent="0.15">
      <c r="A13" s="22" t="s">
        <v>47</v>
      </c>
      <c r="B13" s="22">
        <v>0.78700000000000003</v>
      </c>
    </row>
    <row r="14" spans="1:2" ht="14" x14ac:dyDescent="0.15">
      <c r="A14" s="22" t="s">
        <v>48</v>
      </c>
      <c r="B14" s="22">
        <v>0.746</v>
      </c>
    </row>
    <row r="15" spans="1:2" ht="14" x14ac:dyDescent="0.15">
      <c r="A15" s="22" t="s">
        <v>49</v>
      </c>
      <c r="B15" s="22">
        <v>0.86299999999999999</v>
      </c>
    </row>
    <row r="16" spans="1:2" ht="14" x14ac:dyDescent="0.15">
      <c r="A16" s="22" t="s">
        <v>50</v>
      </c>
      <c r="B16" s="22">
        <v>0.28999999999999998</v>
      </c>
    </row>
    <row r="17" spans="1:2" ht="14" x14ac:dyDescent="0.15">
      <c r="A17" s="22" t="s">
        <v>51</v>
      </c>
      <c r="B17" s="22">
        <v>0.80100000000000005</v>
      </c>
    </row>
    <row r="18" spans="1:2" ht="14" x14ac:dyDescent="0.15">
      <c r="A18" s="22" t="s">
        <v>52</v>
      </c>
      <c r="B18" s="22">
        <v>0.91500000000000004</v>
      </c>
    </row>
    <row r="19" spans="1:2" ht="14" x14ac:dyDescent="0.15">
      <c r="A19" s="22" t="s">
        <v>53</v>
      </c>
      <c r="B19" s="22">
        <v>0.89700000000000002</v>
      </c>
    </row>
    <row r="20" spans="1:2" ht="14" x14ac:dyDescent="0.15">
      <c r="A20" s="22" t="s">
        <v>54</v>
      </c>
      <c r="B20" s="22">
        <v>0.9</v>
      </c>
    </row>
    <row r="21" spans="1:2" ht="14" x14ac:dyDescent="0.15">
      <c r="A21" s="22" t="s">
        <v>55</v>
      </c>
      <c r="B21" s="22">
        <v>1.0169999999999999</v>
      </c>
    </row>
    <row r="22" spans="1:2" ht="14" x14ac:dyDescent="0.15">
      <c r="A22" s="22" t="s">
        <v>56</v>
      </c>
      <c r="B22" s="22">
        <v>1.0940000000000001</v>
      </c>
    </row>
    <row r="23" spans="1:2" ht="14" x14ac:dyDescent="0.15">
      <c r="A23" s="22" t="s">
        <v>57</v>
      </c>
      <c r="B23" s="22">
        <v>1.1180000000000001</v>
      </c>
    </row>
    <row r="24" spans="1:2" ht="14" x14ac:dyDescent="0.15">
      <c r="A24" s="22" t="s">
        <v>58</v>
      </c>
      <c r="B24" s="22">
        <v>0.504</v>
      </c>
    </row>
    <row r="25" spans="1:2" ht="14" x14ac:dyDescent="0.15">
      <c r="A25" s="22" t="s">
        <v>59</v>
      </c>
      <c r="B25" s="22">
        <v>0.90700000000000003</v>
      </c>
    </row>
    <row r="26" spans="1:2" ht="14" x14ac:dyDescent="0.15">
      <c r="A26" s="22" t="s">
        <v>60</v>
      </c>
      <c r="B26" s="22">
        <v>0.6</v>
      </c>
    </row>
    <row r="27" spans="1:2" ht="14" x14ac:dyDescent="0.15">
      <c r="A27" s="22" t="s">
        <v>61</v>
      </c>
      <c r="B27" s="22">
        <v>0.54100000000000004</v>
      </c>
    </row>
    <row r="28" spans="1:2" ht="14" x14ac:dyDescent="0.15">
      <c r="A28" s="22" t="s">
        <v>62</v>
      </c>
      <c r="B28" s="22">
        <v>0.91500000000000004</v>
      </c>
    </row>
    <row r="29" spans="1:2" ht="14" x14ac:dyDescent="0.15">
      <c r="A29" s="22" t="s">
        <v>63</v>
      </c>
      <c r="B29" s="22">
        <v>0.67700000000000005</v>
      </c>
    </row>
    <row r="30" spans="1:2" ht="14" x14ac:dyDescent="0.15">
      <c r="A30" s="22" t="s">
        <v>64</v>
      </c>
      <c r="B30" s="22">
        <v>0.94699999999999995</v>
      </c>
    </row>
    <row r="31" spans="1:2" ht="14" x14ac:dyDescent="0.15">
      <c r="A31" s="22" t="s">
        <v>65</v>
      </c>
      <c r="B31" s="22">
        <v>0.92400000000000004</v>
      </c>
    </row>
    <row r="32" spans="1:2" ht="14" x14ac:dyDescent="0.15">
      <c r="A32" s="22" t="s">
        <v>66</v>
      </c>
      <c r="B32" s="22">
        <v>0.88300000000000001</v>
      </c>
    </row>
    <row r="33" spans="1:2" ht="14" x14ac:dyDescent="0.15">
      <c r="A33" s="22" t="s">
        <v>67</v>
      </c>
      <c r="B33" s="22">
        <v>0.92600000000000005</v>
      </c>
    </row>
    <row r="34" spans="1:2" ht="14" x14ac:dyDescent="0.15">
      <c r="A34" s="22" t="s">
        <v>68</v>
      </c>
      <c r="B34" s="22">
        <v>0.77600000000000002</v>
      </c>
    </row>
    <row r="35" spans="1:2" ht="14" x14ac:dyDescent="0.15">
      <c r="A35" s="22" t="s">
        <v>69</v>
      </c>
      <c r="B35" s="22">
        <v>0.71399999999999997</v>
      </c>
    </row>
    <row r="36" spans="1:2" ht="14" x14ac:dyDescent="0.15">
      <c r="A36" s="22" t="s">
        <v>70</v>
      </c>
      <c r="B36" s="22">
        <v>0.94599999999999995</v>
      </c>
    </row>
    <row r="37" spans="1:2" ht="14" x14ac:dyDescent="0.15">
      <c r="A37" s="22" t="s">
        <v>71</v>
      </c>
      <c r="B37" s="22">
        <v>0.69099999999999995</v>
      </c>
    </row>
    <row r="38" spans="1:2" ht="14" x14ac:dyDescent="0.15">
      <c r="A38" s="22" t="s">
        <v>72</v>
      </c>
      <c r="B38" s="22">
        <v>0.69799999999999995</v>
      </c>
    </row>
    <row r="39" spans="1:2" ht="14" x14ac:dyDescent="0.15">
      <c r="A39" s="22" t="s">
        <v>73</v>
      </c>
      <c r="B39" s="22">
        <v>0.33400000000000002</v>
      </c>
    </row>
    <row r="40" spans="1:2" ht="14" x14ac:dyDescent="0.15">
      <c r="A40" s="22" t="s">
        <v>74</v>
      </c>
      <c r="B40" s="22">
        <v>0.69</v>
      </c>
    </row>
    <row r="41" spans="1:2" ht="14" x14ac:dyDescent="0.15">
      <c r="A41" s="22" t="s">
        <v>75</v>
      </c>
      <c r="B41" s="22">
        <v>0.59</v>
      </c>
    </row>
    <row r="42" spans="1:2" ht="14" x14ac:dyDescent="0.15">
      <c r="A42" s="22" t="s">
        <v>76</v>
      </c>
      <c r="B42" s="22">
        <v>0.75800000000000001</v>
      </c>
    </row>
    <row r="43" spans="1:2" ht="14" x14ac:dyDescent="0.15">
      <c r="A43" s="22" t="s">
        <v>77</v>
      </c>
      <c r="B43" s="22">
        <v>0.72199999999999998</v>
      </c>
    </row>
    <row r="44" spans="1:2" ht="14" x14ac:dyDescent="0.15">
      <c r="A44" s="22" t="s">
        <v>78</v>
      </c>
      <c r="B44" s="22">
        <v>0.99399999999999999</v>
      </c>
    </row>
    <row r="45" spans="1:2" ht="14" x14ac:dyDescent="0.15">
      <c r="A45" s="22" t="s">
        <v>79</v>
      </c>
      <c r="B45" s="22">
        <v>0.90200000000000002</v>
      </c>
    </row>
    <row r="46" spans="1:2" ht="14" x14ac:dyDescent="0.15">
      <c r="A46" s="22" t="s">
        <v>80</v>
      </c>
      <c r="B46" s="22">
        <v>1.008</v>
      </c>
    </row>
    <row r="47" spans="1:2" ht="14" x14ac:dyDescent="0.15">
      <c r="A47" s="22" t="s">
        <v>81</v>
      </c>
      <c r="B47" s="22">
        <v>0.75900000000000001</v>
      </c>
    </row>
    <row r="48" spans="1:2" ht="14" x14ac:dyDescent="0.15">
      <c r="A48" s="22" t="s">
        <v>82</v>
      </c>
      <c r="B48" s="22">
        <v>0.875</v>
      </c>
    </row>
    <row r="49" spans="1:2" ht="14" x14ac:dyDescent="0.15">
      <c r="A49" s="22" t="s">
        <v>83</v>
      </c>
      <c r="B49" s="22">
        <v>0.78500000000000003</v>
      </c>
    </row>
    <row r="50" spans="1:2" ht="14" x14ac:dyDescent="0.15">
      <c r="A50" s="22" t="s">
        <v>84</v>
      </c>
      <c r="B50" s="22">
        <v>0.71599999999999997</v>
      </c>
    </row>
    <row r="51" spans="1:2" ht="14" x14ac:dyDescent="0.15">
      <c r="A51" s="22" t="s">
        <v>85</v>
      </c>
      <c r="B51" s="22">
        <v>0.63800000000000001</v>
      </c>
    </row>
    <row r="52" spans="1:2" ht="14" x14ac:dyDescent="0.15">
      <c r="A52" s="22" t="s">
        <v>86</v>
      </c>
      <c r="B52" s="22">
        <v>0.84099999999999997</v>
      </c>
    </row>
    <row r="53" spans="1:2" ht="14" x14ac:dyDescent="0.15">
      <c r="A53" s="22" t="s">
        <v>87</v>
      </c>
      <c r="B53" s="22">
        <v>0.76500000000000001</v>
      </c>
    </row>
    <row r="54" spans="1:2" ht="14" x14ac:dyDescent="0.15">
      <c r="A54" s="22" t="s">
        <v>88</v>
      </c>
      <c r="B54" s="22">
        <v>0.98899999999999999</v>
      </c>
    </row>
    <row r="55" spans="1:2" ht="14" x14ac:dyDescent="0.15">
      <c r="A55" s="22" t="s">
        <v>89</v>
      </c>
      <c r="B55" s="22">
        <v>1.0409999999999999</v>
      </c>
    </row>
    <row r="56" spans="1:2" ht="14" x14ac:dyDescent="0.15">
      <c r="A56" s="22" t="s">
        <v>90</v>
      </c>
      <c r="B56" s="22">
        <v>0.89900000000000002</v>
      </c>
    </row>
    <row r="57" spans="1:2" ht="14" x14ac:dyDescent="0.15">
      <c r="A57" s="22" t="s">
        <v>91</v>
      </c>
      <c r="B57" s="22">
        <v>0.92800000000000005</v>
      </c>
    </row>
    <row r="58" spans="1:2" ht="14" x14ac:dyDescent="0.15">
      <c r="A58" s="22" t="s">
        <v>92</v>
      </c>
      <c r="B58" s="22">
        <v>0.98099999999999998</v>
      </c>
    </row>
    <row r="59" spans="1:2" ht="14" x14ac:dyDescent="0.15">
      <c r="A59" s="22" t="s">
        <v>93</v>
      </c>
      <c r="B59" s="22">
        <v>1.163</v>
      </c>
    </row>
    <row r="60" spans="1:2" ht="14" x14ac:dyDescent="0.15">
      <c r="A60" s="22" t="s">
        <v>94</v>
      </c>
      <c r="B60" s="22">
        <v>1.179</v>
      </c>
    </row>
    <row r="61" spans="1:2" ht="14" x14ac:dyDescent="0.15">
      <c r="A61" s="22" t="s">
        <v>95</v>
      </c>
      <c r="B61" s="22">
        <v>1.2090000000000001</v>
      </c>
    </row>
    <row r="62" spans="1:2" ht="14" x14ac:dyDescent="0.15">
      <c r="A62" s="22" t="s">
        <v>96</v>
      </c>
      <c r="B62" s="22">
        <v>1.23</v>
      </c>
    </row>
    <row r="63" spans="1:2" ht="14" x14ac:dyDescent="0.15">
      <c r="A63" s="22" t="s">
        <v>97</v>
      </c>
      <c r="B63" s="22">
        <v>1.181</v>
      </c>
    </row>
    <row r="64" spans="1:2" ht="14" x14ac:dyDescent="0.15">
      <c r="A64" s="22" t="s">
        <v>98</v>
      </c>
      <c r="B64" s="22">
        <v>1.048</v>
      </c>
    </row>
    <row r="65" spans="1:2" ht="14" x14ac:dyDescent="0.15">
      <c r="A65" s="22" t="s">
        <v>99</v>
      </c>
      <c r="B65" s="22">
        <v>1.026</v>
      </c>
    </row>
    <row r="66" spans="1:2" ht="14" x14ac:dyDescent="0.15">
      <c r="A66" s="22" t="s">
        <v>100</v>
      </c>
      <c r="B66" s="22">
        <v>0.61399999999999999</v>
      </c>
    </row>
    <row r="67" spans="1:2" ht="14" x14ac:dyDescent="0.15">
      <c r="A67" s="22" t="s">
        <v>101</v>
      </c>
      <c r="B67" s="22">
        <v>0.59699999999999998</v>
      </c>
    </row>
    <row r="68" spans="1:2" ht="14" x14ac:dyDescent="0.15">
      <c r="A68" s="22" t="s">
        <v>102</v>
      </c>
      <c r="B68" s="22">
        <v>0.61</v>
      </c>
    </row>
    <row r="69" spans="1:2" ht="14" x14ac:dyDescent="0.15">
      <c r="A69" s="22" t="s">
        <v>103</v>
      </c>
      <c r="B69" s="22">
        <v>0.629</v>
      </c>
    </row>
    <row r="70" spans="1:2" ht="14" x14ac:dyDescent="0.15">
      <c r="A70" s="22" t="s">
        <v>104</v>
      </c>
      <c r="B70" s="22">
        <v>0.60899999999999999</v>
      </c>
    </row>
    <row r="71" spans="1:2" ht="14" x14ac:dyDescent="0.15">
      <c r="A71" s="22" t="s">
        <v>105</v>
      </c>
      <c r="B71" s="22">
        <v>0.65700000000000003</v>
      </c>
    </row>
    <row r="72" spans="1:2" ht="14" x14ac:dyDescent="0.15">
      <c r="A72" s="22" t="s">
        <v>106</v>
      </c>
      <c r="B72" s="22">
        <v>0.71899999999999997</v>
      </c>
    </row>
    <row r="73" spans="1:2" ht="14" x14ac:dyDescent="0.15">
      <c r="A73" s="22" t="s">
        <v>107</v>
      </c>
      <c r="B73" s="22">
        <v>0.627</v>
      </c>
    </row>
    <row r="74" spans="1:2" ht="14" x14ac:dyDescent="0.15">
      <c r="A74" s="22" t="s">
        <v>108</v>
      </c>
      <c r="B74" s="22">
        <v>0.87</v>
      </c>
    </row>
    <row r="75" spans="1:2" ht="14" x14ac:dyDescent="0.15">
      <c r="A75" s="22" t="s">
        <v>109</v>
      </c>
      <c r="B75" s="22">
        <v>0.83299999999999996</v>
      </c>
    </row>
    <row r="76" spans="1:2" ht="14" x14ac:dyDescent="0.15">
      <c r="A76" s="22" t="s">
        <v>110</v>
      </c>
      <c r="B76" s="22">
        <v>1.1160000000000001</v>
      </c>
    </row>
    <row r="77" spans="1:2" ht="14" x14ac:dyDescent="0.15">
      <c r="A77" s="22" t="s">
        <v>111</v>
      </c>
      <c r="B77" s="22">
        <v>1.008</v>
      </c>
    </row>
    <row r="78" spans="1:2" ht="14" x14ac:dyDescent="0.15">
      <c r="A78" s="22" t="s">
        <v>112</v>
      </c>
      <c r="B78" s="22">
        <v>1.01</v>
      </c>
    </row>
    <row r="79" spans="1:2" ht="14" x14ac:dyDescent="0.15">
      <c r="A79" s="22" t="s">
        <v>113</v>
      </c>
      <c r="B79" s="22">
        <v>0.97099999999999997</v>
      </c>
    </row>
    <row r="80" spans="1:2" ht="14" x14ac:dyDescent="0.15">
      <c r="A80" s="22" t="s">
        <v>114</v>
      </c>
      <c r="B80" s="22">
        <v>0.90800000000000003</v>
      </c>
    </row>
    <row r="81" spans="1:2" ht="14" x14ac:dyDescent="0.15">
      <c r="A81" s="22" t="s">
        <v>115</v>
      </c>
      <c r="B81" s="22">
        <v>0.92600000000000005</v>
      </c>
    </row>
    <row r="82" spans="1:2" ht="14" x14ac:dyDescent="0.15">
      <c r="A82" s="22" t="s">
        <v>116</v>
      </c>
      <c r="B82" s="22">
        <v>0.79200000000000004</v>
      </c>
    </row>
    <row r="83" spans="1:2" ht="14" x14ac:dyDescent="0.15">
      <c r="A83" s="22" t="s">
        <v>117</v>
      </c>
      <c r="B83" s="22">
        <v>0.70499999999999996</v>
      </c>
    </row>
    <row r="84" spans="1:2" ht="14" x14ac:dyDescent="0.15">
      <c r="A84" s="22" t="s">
        <v>118</v>
      </c>
      <c r="B84" s="22">
        <v>0.78100000000000003</v>
      </c>
    </row>
    <row r="85" spans="1:2" ht="14" x14ac:dyDescent="0.15">
      <c r="A85" s="22" t="s">
        <v>119</v>
      </c>
      <c r="B85" s="22">
        <v>0.74299999999999999</v>
      </c>
    </row>
    <row r="86" spans="1:2" ht="14" x14ac:dyDescent="0.15">
      <c r="A86" s="22" t="s">
        <v>120</v>
      </c>
      <c r="B86" s="22">
        <v>0.58799999999999997</v>
      </c>
    </row>
    <row r="87" spans="1:2" ht="14" x14ac:dyDescent="0.15">
      <c r="A87" s="22" t="s">
        <v>121</v>
      </c>
      <c r="B87" s="22">
        <v>0.71499999999999997</v>
      </c>
    </row>
    <row r="88" spans="1:2" ht="14" x14ac:dyDescent="0.15">
      <c r="A88" s="22" t="s">
        <v>122</v>
      </c>
      <c r="B88" s="22">
        <v>0.68400000000000005</v>
      </c>
    </row>
    <row r="89" spans="1:2" ht="14" x14ac:dyDescent="0.15">
      <c r="A89" s="22" t="s">
        <v>123</v>
      </c>
      <c r="B89" s="22">
        <v>0.71199999999999997</v>
      </c>
    </row>
    <row r="90" spans="1:2" ht="14" x14ac:dyDescent="0.15">
      <c r="A90" s="22" t="s">
        <v>124</v>
      </c>
      <c r="B90" s="22">
        <v>0.92500000000000004</v>
      </c>
    </row>
    <row r="91" spans="1:2" ht="14" x14ac:dyDescent="0.15">
      <c r="A91" s="22" t="s">
        <v>125</v>
      </c>
      <c r="B91" s="22">
        <v>0.753</v>
      </c>
    </row>
    <row r="92" spans="1:2" ht="14" x14ac:dyDescent="0.15">
      <c r="A92" s="22" t="s">
        <v>126</v>
      </c>
      <c r="B92" s="22">
        <v>0.84899999999999998</v>
      </c>
    </row>
    <row r="93" spans="1:2" ht="14" x14ac:dyDescent="0.15">
      <c r="A93" s="22" t="s">
        <v>127</v>
      </c>
      <c r="B93" s="22">
        <v>0.84</v>
      </c>
    </row>
    <row r="94" spans="1:2" ht="14" x14ac:dyDescent="0.15">
      <c r="A94" s="22" t="s">
        <v>128</v>
      </c>
      <c r="B94" s="22">
        <v>0.88400000000000001</v>
      </c>
    </row>
    <row r="95" spans="1:2" ht="14" x14ac:dyDescent="0.15">
      <c r="A95" s="22" t="s">
        <v>129</v>
      </c>
      <c r="B95" s="22">
        <v>0.91800000000000004</v>
      </c>
    </row>
    <row r="96" spans="1:2" ht="14" x14ac:dyDescent="0.15">
      <c r="A96" s="22" t="s">
        <v>130</v>
      </c>
      <c r="B96" s="22">
        <v>0.95499999999999996</v>
      </c>
    </row>
    <row r="97" spans="1:2" ht="14" x14ac:dyDescent="0.15">
      <c r="A97" s="22" t="s">
        <v>131</v>
      </c>
      <c r="B97" s="22">
        <v>1.0049999999999999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4"/>
  <sheetViews>
    <sheetView workbookViewId="0">
      <selection activeCell="I38" sqref="I38"/>
    </sheetView>
  </sheetViews>
  <sheetFormatPr baseColWidth="10" defaultColWidth="9.1640625" defaultRowHeight="13" x14ac:dyDescent="0.15"/>
  <cols>
    <col min="1" max="1" width="20.6640625" style="23" customWidth="1"/>
    <col min="2" max="2" width="12.6640625" style="23" customWidth="1"/>
    <col min="3" max="16384" width="9.1640625" style="23"/>
  </cols>
  <sheetData>
    <row r="2" spans="1:2" x14ac:dyDescent="0.15">
      <c r="A2" s="23" t="s">
        <v>0</v>
      </c>
      <c r="B2" s="23" t="s">
        <v>1</v>
      </c>
    </row>
    <row r="4" spans="1:2" x14ac:dyDescent="0.15">
      <c r="A4" s="23" t="s">
        <v>2</v>
      </c>
    </row>
    <row r="5" spans="1:2" x14ac:dyDescent="0.15">
      <c r="A5" s="23" t="s">
        <v>3</v>
      </c>
    </row>
    <row r="6" spans="1:2" x14ac:dyDescent="0.15">
      <c r="A6" s="23" t="s">
        <v>4</v>
      </c>
      <c r="B6" s="23" t="s">
        <v>132</v>
      </c>
    </row>
    <row r="7" spans="1:2" x14ac:dyDescent="0.15">
      <c r="A7" s="23" t="s">
        <v>6</v>
      </c>
      <c r="B7" s="24">
        <v>45617</v>
      </c>
    </row>
    <row r="8" spans="1:2" x14ac:dyDescent="0.15">
      <c r="A8" s="23" t="s">
        <v>7</v>
      </c>
      <c r="B8" s="25">
        <v>0.61030092592592589</v>
      </c>
    </row>
    <row r="9" spans="1:2" x14ac:dyDescent="0.15">
      <c r="A9" s="23" t="s">
        <v>8</v>
      </c>
      <c r="B9" s="23" t="s">
        <v>9</v>
      </c>
    </row>
    <row r="10" spans="1:2" x14ac:dyDescent="0.15">
      <c r="A10" s="23" t="s">
        <v>10</v>
      </c>
      <c r="B10" s="23">
        <v>1909168</v>
      </c>
    </row>
    <row r="11" spans="1:2" x14ac:dyDescent="0.15">
      <c r="A11" s="23" t="s">
        <v>11</v>
      </c>
      <c r="B11" s="23" t="s">
        <v>12</v>
      </c>
    </row>
    <row r="13" spans="1:2" ht="14" x14ac:dyDescent="0.15">
      <c r="A13" s="26" t="s">
        <v>13</v>
      </c>
      <c r="B13" s="27"/>
    </row>
    <row r="14" spans="1:2" x14ac:dyDescent="0.15">
      <c r="A14" s="23" t="s">
        <v>14</v>
      </c>
      <c r="B14" s="23" t="s">
        <v>15</v>
      </c>
    </row>
    <row r="15" spans="1:2" x14ac:dyDescent="0.15">
      <c r="A15" s="23" t="s">
        <v>16</v>
      </c>
    </row>
    <row r="16" spans="1:2" x14ac:dyDescent="0.15">
      <c r="A16" s="23" t="s">
        <v>17</v>
      </c>
      <c r="B16" s="23" t="s">
        <v>18</v>
      </c>
    </row>
    <row r="17" spans="1:15" x14ac:dyDescent="0.15">
      <c r="B17" s="23" t="s">
        <v>19</v>
      </c>
    </row>
    <row r="18" spans="1:15" x14ac:dyDescent="0.15">
      <c r="A18" s="23" t="s">
        <v>20</v>
      </c>
      <c r="B18" s="23" t="s">
        <v>21</v>
      </c>
    </row>
    <row r="19" spans="1:15" x14ac:dyDescent="0.15">
      <c r="B19" s="23" t="s">
        <v>22</v>
      </c>
    </row>
    <row r="20" spans="1:15" x14ac:dyDescent="0.15">
      <c r="B20" s="23" t="s">
        <v>23</v>
      </c>
    </row>
    <row r="21" spans="1:15" x14ac:dyDescent="0.15">
      <c r="B21" s="23" t="s">
        <v>24</v>
      </c>
    </row>
    <row r="23" spans="1:15" ht="14" x14ac:dyDescent="0.15">
      <c r="A23" s="26" t="s">
        <v>25</v>
      </c>
      <c r="B23" s="27"/>
    </row>
    <row r="24" spans="1:15" x14ac:dyDescent="0.15">
      <c r="A24" s="23" t="s">
        <v>26</v>
      </c>
      <c r="B24" s="23">
        <v>21.4</v>
      </c>
    </row>
    <row r="26" spans="1:15" x14ac:dyDescent="0.15">
      <c r="B26" s="28"/>
      <c r="C26" s="29">
        <v>1</v>
      </c>
      <c r="D26" s="29">
        <v>2</v>
      </c>
      <c r="E26" s="29">
        <v>3</v>
      </c>
      <c r="F26" s="29">
        <v>4</v>
      </c>
      <c r="G26" s="29">
        <v>5</v>
      </c>
      <c r="H26" s="29">
        <v>6</v>
      </c>
      <c r="I26" s="29">
        <v>7</v>
      </c>
      <c r="J26" s="29">
        <v>8</v>
      </c>
      <c r="K26" s="29">
        <v>9</v>
      </c>
      <c r="L26" s="29">
        <v>10</v>
      </c>
      <c r="M26" s="29">
        <v>11</v>
      </c>
      <c r="N26" s="29">
        <v>12</v>
      </c>
    </row>
    <row r="27" spans="1:15" ht="14" x14ac:dyDescent="0.15">
      <c r="B27" s="29" t="s">
        <v>27</v>
      </c>
      <c r="C27" s="30">
        <v>0.96699999999999997</v>
      </c>
      <c r="D27" s="31">
        <v>0.81699999999999995</v>
      </c>
      <c r="E27" s="30">
        <v>0.90500000000000003</v>
      </c>
      <c r="F27" s="32">
        <v>0.59699999999999998</v>
      </c>
      <c r="G27" s="33">
        <v>0.67200000000000004</v>
      </c>
      <c r="H27" s="34">
        <v>0.74099999999999999</v>
      </c>
      <c r="I27" s="33">
        <v>0.70699999999999996</v>
      </c>
      <c r="J27" s="32">
        <v>0.57599999999999996</v>
      </c>
      <c r="K27" s="35">
        <v>0.38100000000000001</v>
      </c>
      <c r="L27" s="30">
        <v>0.91400000000000003</v>
      </c>
      <c r="M27" s="31">
        <v>0.83899999999999997</v>
      </c>
      <c r="N27" s="30">
        <v>0.95699999999999996</v>
      </c>
      <c r="O27" s="36">
        <v>450</v>
      </c>
    </row>
    <row r="28" spans="1:15" ht="14" x14ac:dyDescent="0.15">
      <c r="B28" s="29" t="s">
        <v>28</v>
      </c>
      <c r="C28" s="31">
        <v>0.81599999999999995</v>
      </c>
      <c r="D28" s="34">
        <v>0.755</v>
      </c>
      <c r="E28" s="31">
        <v>0.83399999999999996</v>
      </c>
      <c r="F28" s="37">
        <v>0.46899999999999997</v>
      </c>
      <c r="G28" s="32">
        <v>0.53900000000000003</v>
      </c>
      <c r="H28" s="33">
        <v>0.63200000000000001</v>
      </c>
      <c r="I28" s="33">
        <v>0.65500000000000003</v>
      </c>
      <c r="J28" s="37">
        <v>0.50700000000000001</v>
      </c>
      <c r="K28" s="38">
        <v>0.35499999999999998</v>
      </c>
      <c r="L28" s="30">
        <v>0.97599999999999998</v>
      </c>
      <c r="M28" s="34">
        <v>0.77700000000000002</v>
      </c>
      <c r="N28" s="31">
        <v>0.85399999999999998</v>
      </c>
      <c r="O28" s="36">
        <v>450</v>
      </c>
    </row>
    <row r="29" spans="1:15" ht="14" x14ac:dyDescent="0.15">
      <c r="B29" s="29" t="s">
        <v>29</v>
      </c>
      <c r="C29" s="31">
        <v>0.82599999999999996</v>
      </c>
      <c r="D29" s="34">
        <v>0.72199999999999998</v>
      </c>
      <c r="E29" s="30">
        <v>0.95399999999999996</v>
      </c>
      <c r="F29" s="31">
        <v>0.82199999999999995</v>
      </c>
      <c r="G29" s="31">
        <v>0.85799999999999998</v>
      </c>
      <c r="H29" s="30">
        <v>0.95499999999999996</v>
      </c>
      <c r="I29" s="39">
        <v>1.127</v>
      </c>
      <c r="J29" s="33">
        <v>0.71399999999999997</v>
      </c>
      <c r="K29" s="35">
        <v>0.42899999999999999</v>
      </c>
      <c r="L29" s="40">
        <v>1.27</v>
      </c>
      <c r="M29" s="31">
        <v>0.86799999999999999</v>
      </c>
      <c r="N29" s="30">
        <v>0.92900000000000005</v>
      </c>
      <c r="O29" s="36">
        <v>450</v>
      </c>
    </row>
    <row r="30" spans="1:15" ht="14" x14ac:dyDescent="0.15">
      <c r="B30" s="29" t="s">
        <v>30</v>
      </c>
      <c r="C30" s="31">
        <v>0.874</v>
      </c>
      <c r="D30" s="34">
        <v>0.77500000000000002</v>
      </c>
      <c r="E30" s="30">
        <v>0.93200000000000005</v>
      </c>
      <c r="F30" s="34">
        <v>0.79500000000000004</v>
      </c>
      <c r="G30" s="34">
        <v>0.749</v>
      </c>
      <c r="H30" s="31">
        <v>0.86299999999999999</v>
      </c>
      <c r="I30" s="41">
        <v>1.0149999999999999</v>
      </c>
      <c r="J30" s="34">
        <v>0.77200000000000002</v>
      </c>
      <c r="K30" s="32">
        <v>0.56100000000000005</v>
      </c>
      <c r="L30" s="40">
        <v>1.345</v>
      </c>
      <c r="M30" s="34">
        <v>0.74099999999999999</v>
      </c>
      <c r="N30" s="31">
        <v>0.82699999999999996</v>
      </c>
      <c r="O30" s="36">
        <v>450</v>
      </c>
    </row>
    <row r="31" spans="1:15" ht="14" x14ac:dyDescent="0.15">
      <c r="B31" s="29" t="s">
        <v>31</v>
      </c>
      <c r="C31" s="30">
        <v>0.91700000000000004</v>
      </c>
      <c r="D31" s="34">
        <v>0.77600000000000002</v>
      </c>
      <c r="E31" s="41">
        <v>1.04</v>
      </c>
      <c r="F31" s="31">
        <v>0.84099999999999997</v>
      </c>
      <c r="G31" s="41">
        <v>1.056</v>
      </c>
      <c r="H31" s="30">
        <v>0.90600000000000003</v>
      </c>
      <c r="I31" s="39">
        <v>1.0900000000000001</v>
      </c>
      <c r="J31" s="41">
        <v>1.022</v>
      </c>
      <c r="K31" s="32">
        <v>0.57699999999999996</v>
      </c>
      <c r="L31" s="42">
        <v>1.216</v>
      </c>
      <c r="M31" s="31">
        <v>0.84499999999999997</v>
      </c>
      <c r="N31" s="31">
        <v>0.83</v>
      </c>
      <c r="O31" s="36">
        <v>450</v>
      </c>
    </row>
    <row r="32" spans="1:15" ht="14" x14ac:dyDescent="0.15">
      <c r="B32" s="29" t="s">
        <v>32</v>
      </c>
      <c r="C32" s="30">
        <v>0.92100000000000004</v>
      </c>
      <c r="D32" s="31">
        <v>0.81699999999999995</v>
      </c>
      <c r="E32" s="30">
        <v>0.96199999999999997</v>
      </c>
      <c r="F32" s="33">
        <v>0.70099999999999996</v>
      </c>
      <c r="G32" s="33">
        <v>0.71599999999999997</v>
      </c>
      <c r="H32" s="31">
        <v>0.81799999999999995</v>
      </c>
      <c r="I32" s="30">
        <v>0.91100000000000003</v>
      </c>
      <c r="J32" s="31">
        <v>0.85199999999999998</v>
      </c>
      <c r="K32" s="35">
        <v>0.42599999999999999</v>
      </c>
      <c r="L32" s="42">
        <v>1.169</v>
      </c>
      <c r="M32" s="34">
        <v>0.75600000000000001</v>
      </c>
      <c r="N32" s="31">
        <v>0.83</v>
      </c>
      <c r="O32" s="36">
        <v>450</v>
      </c>
    </row>
    <row r="33" spans="2:15" ht="14" x14ac:dyDescent="0.15">
      <c r="B33" s="29" t="s">
        <v>33</v>
      </c>
      <c r="C33" s="30">
        <v>0.94</v>
      </c>
      <c r="D33" s="31">
        <v>0.878</v>
      </c>
      <c r="E33" s="41">
        <v>1.0009999999999999</v>
      </c>
      <c r="F33" s="34">
        <v>0.73599999999999999</v>
      </c>
      <c r="G33" s="33">
        <v>0.68</v>
      </c>
      <c r="H33" s="34">
        <v>0.71899999999999997</v>
      </c>
      <c r="I33" s="30">
        <v>0.96</v>
      </c>
      <c r="J33" s="33">
        <v>0.64200000000000002</v>
      </c>
      <c r="K33" s="38">
        <v>0.29599999999999999</v>
      </c>
      <c r="L33" s="41">
        <v>0.99099999999999999</v>
      </c>
      <c r="M33" s="31">
        <v>0.81</v>
      </c>
      <c r="N33" s="30">
        <v>0.96699999999999997</v>
      </c>
      <c r="O33" s="36">
        <v>450</v>
      </c>
    </row>
    <row r="34" spans="2:15" ht="14" x14ac:dyDescent="0.15">
      <c r="B34" s="29" t="s">
        <v>34</v>
      </c>
      <c r="C34" s="30">
        <v>0.97</v>
      </c>
      <c r="D34" s="31">
        <v>0.874</v>
      </c>
      <c r="E34" s="31">
        <v>0.88800000000000001</v>
      </c>
      <c r="F34" s="31">
        <v>0.86399999999999999</v>
      </c>
      <c r="G34" s="31">
        <v>0.82799999999999996</v>
      </c>
      <c r="H34" s="31">
        <v>0.86599999999999999</v>
      </c>
      <c r="I34" s="43">
        <v>9.5000000000000001E-2</v>
      </c>
      <c r="J34" s="43">
        <v>0.10199999999999999</v>
      </c>
      <c r="K34" s="43">
        <v>0.112</v>
      </c>
      <c r="L34" s="43">
        <v>8.8999999999999996E-2</v>
      </c>
      <c r="M34" s="43">
        <v>0.10199999999999999</v>
      </c>
      <c r="N34" s="43">
        <v>0.104</v>
      </c>
      <c r="O34" s="36">
        <v>450</v>
      </c>
    </row>
    <row r="36" spans="2:15" ht="14" x14ac:dyDescent="0.15">
      <c r="B36" s="5" t="s">
        <v>167</v>
      </c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  <c r="I36" s="6">
        <v>7</v>
      </c>
      <c r="J36" s="6">
        <v>8</v>
      </c>
      <c r="K36" s="6">
        <v>9</v>
      </c>
      <c r="L36" s="6">
        <v>10</v>
      </c>
      <c r="M36" s="6">
        <v>11</v>
      </c>
      <c r="N36" s="6">
        <v>12</v>
      </c>
    </row>
    <row r="37" spans="2:15" ht="14" x14ac:dyDescent="0.15">
      <c r="B37" s="6" t="s">
        <v>27</v>
      </c>
      <c r="C37" s="45">
        <f>AVERAGE(C27:E27)</f>
        <v>0.89633333333333332</v>
      </c>
      <c r="D37"/>
      <c r="E37"/>
      <c r="F37" s="45">
        <f>AVERAGE(F27:H27)</f>
        <v>0.67</v>
      </c>
      <c r="G37"/>
      <c r="H37"/>
      <c r="I37" s="45">
        <f>AVERAGE(I27:J27)</f>
        <v>0.64149999999999996</v>
      </c>
      <c r="J37" s="58" t="s">
        <v>240</v>
      </c>
      <c r="K37"/>
      <c r="L37" s="45">
        <f>AVERAGE(L27:N27)</f>
        <v>0.90333333333333332</v>
      </c>
      <c r="M37"/>
      <c r="N37"/>
    </row>
    <row r="38" spans="2:15" ht="14" x14ac:dyDescent="0.15">
      <c r="B38" s="6" t="s">
        <v>28</v>
      </c>
      <c r="C38" s="45">
        <f t="shared" ref="C38:C44" si="0">AVERAGE(C28:E28)</f>
        <v>0.80166666666666664</v>
      </c>
      <c r="D38"/>
      <c r="E38"/>
      <c r="F38" s="45">
        <f t="shared" ref="F38:F44" si="1">AVERAGE(F28:H28)</f>
        <v>0.54666666666666675</v>
      </c>
      <c r="G38"/>
      <c r="H38"/>
      <c r="I38" s="45">
        <f t="shared" ref="I38:I43" si="2">AVERAGE(I28:J28)</f>
        <v>0.58099999999999996</v>
      </c>
      <c r="J38" s="58" t="s">
        <v>240</v>
      </c>
      <c r="K38"/>
      <c r="L38" s="45">
        <f t="shared" ref="L38:L44" si="3">AVERAGE(L28:N28)</f>
        <v>0.86900000000000011</v>
      </c>
      <c r="M38"/>
      <c r="N38"/>
    </row>
    <row r="39" spans="2:15" ht="14" x14ac:dyDescent="0.15">
      <c r="B39" s="6" t="s">
        <v>29</v>
      </c>
      <c r="C39" s="45">
        <f t="shared" si="0"/>
        <v>0.83399999999999996</v>
      </c>
      <c r="D39"/>
      <c r="E39"/>
      <c r="F39" s="45">
        <f t="shared" si="1"/>
        <v>0.8783333333333333</v>
      </c>
      <c r="G39"/>
      <c r="H39"/>
      <c r="I39" s="45">
        <f t="shared" si="2"/>
        <v>0.92049999999999998</v>
      </c>
      <c r="J39" s="58" t="s">
        <v>240</v>
      </c>
      <c r="K39"/>
      <c r="L39" s="45">
        <f t="shared" si="3"/>
        <v>1.0223333333333333</v>
      </c>
      <c r="M39"/>
      <c r="N39"/>
    </row>
    <row r="40" spans="2:15" ht="14" x14ac:dyDescent="0.15">
      <c r="B40" s="6" t="s">
        <v>30</v>
      </c>
      <c r="C40" s="45">
        <f t="shared" si="0"/>
        <v>0.86033333333333328</v>
      </c>
      <c r="D40"/>
      <c r="E40"/>
      <c r="F40" s="45">
        <f t="shared" si="1"/>
        <v>0.80233333333333334</v>
      </c>
      <c r="G40"/>
      <c r="H40"/>
      <c r="I40" s="45">
        <f t="shared" si="2"/>
        <v>0.89349999999999996</v>
      </c>
      <c r="J40" s="58" t="s">
        <v>240</v>
      </c>
      <c r="K40"/>
      <c r="L40" s="45">
        <f t="shared" si="3"/>
        <v>0.97099999999999997</v>
      </c>
      <c r="M40"/>
      <c r="N40"/>
    </row>
    <row r="41" spans="2:15" ht="14" x14ac:dyDescent="0.15">
      <c r="B41" s="6" t="s">
        <v>31</v>
      </c>
      <c r="C41" s="45">
        <f t="shared" si="0"/>
        <v>0.91100000000000003</v>
      </c>
      <c r="D41"/>
      <c r="E41"/>
      <c r="F41" s="45">
        <f t="shared" si="1"/>
        <v>0.93433333333333335</v>
      </c>
      <c r="G41"/>
      <c r="H41"/>
      <c r="I41" s="45">
        <f t="shared" si="2"/>
        <v>1.056</v>
      </c>
      <c r="J41" s="58" t="s">
        <v>240</v>
      </c>
      <c r="K41"/>
      <c r="L41" s="45">
        <f t="shared" si="3"/>
        <v>0.96366666666666667</v>
      </c>
      <c r="M41"/>
      <c r="N41"/>
    </row>
    <row r="42" spans="2:15" ht="14" x14ac:dyDescent="0.15">
      <c r="B42" s="6" t="s">
        <v>32</v>
      </c>
      <c r="C42" s="45">
        <f t="shared" si="0"/>
        <v>0.9</v>
      </c>
      <c r="D42"/>
      <c r="E42"/>
      <c r="F42" s="45">
        <f t="shared" si="1"/>
        <v>0.745</v>
      </c>
      <c r="G42"/>
      <c r="H42"/>
      <c r="I42" s="45">
        <f t="shared" si="2"/>
        <v>0.88149999999999995</v>
      </c>
      <c r="J42" s="58" t="s">
        <v>240</v>
      </c>
      <c r="K42"/>
      <c r="L42" s="45">
        <f t="shared" si="3"/>
        <v>0.91833333333333333</v>
      </c>
      <c r="M42"/>
      <c r="N42"/>
    </row>
    <row r="43" spans="2:15" ht="14" x14ac:dyDescent="0.15">
      <c r="B43" s="6" t="s">
        <v>33</v>
      </c>
      <c r="C43" s="45">
        <f t="shared" si="0"/>
        <v>0.93966666666666665</v>
      </c>
      <c r="D43"/>
      <c r="E43"/>
      <c r="F43" s="45">
        <f t="shared" si="1"/>
        <v>0.71166666666666656</v>
      </c>
      <c r="G43"/>
      <c r="H43"/>
      <c r="I43" s="45">
        <f t="shared" si="2"/>
        <v>0.80099999999999993</v>
      </c>
      <c r="J43" s="58" t="s">
        <v>240</v>
      </c>
      <c r="K43"/>
      <c r="L43" s="45">
        <f t="shared" si="3"/>
        <v>0.92266666666666675</v>
      </c>
      <c r="M43"/>
      <c r="N43"/>
    </row>
    <row r="44" spans="2:15" ht="14" x14ac:dyDescent="0.15">
      <c r="B44" s="6" t="s">
        <v>34</v>
      </c>
      <c r="C44" s="45">
        <f t="shared" si="0"/>
        <v>0.91066666666666662</v>
      </c>
      <c r="D44"/>
      <c r="E44"/>
      <c r="F44" s="45">
        <f t="shared" si="1"/>
        <v>0.85266666666666657</v>
      </c>
      <c r="G44"/>
      <c r="H44"/>
      <c r="I44" s="45">
        <f t="shared" ref="I44" si="4">AVERAGE(I34:K34)</f>
        <v>0.10299999999999999</v>
      </c>
      <c r="J44" s="58" t="s">
        <v>240</v>
      </c>
      <c r="K44"/>
      <c r="L44" s="45">
        <f t="shared" si="3"/>
        <v>9.8333333333333328E-2</v>
      </c>
      <c r="M44"/>
      <c r="N44"/>
    </row>
  </sheetData>
  <phoneticPr fontId="1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7"/>
  <sheetViews>
    <sheetView workbookViewId="0">
      <selection sqref="A1:B97"/>
    </sheetView>
  </sheetViews>
  <sheetFormatPr baseColWidth="10" defaultColWidth="8.83203125" defaultRowHeight="13" x14ac:dyDescent="0.15"/>
  <sheetData>
    <row r="1" spans="1:2" ht="14" x14ac:dyDescent="0.15">
      <c r="A1" s="6" t="s">
        <v>35</v>
      </c>
      <c r="B1" s="6">
        <v>450</v>
      </c>
    </row>
    <row r="2" spans="1:2" ht="14" x14ac:dyDescent="0.15">
      <c r="A2" s="22" t="s">
        <v>36</v>
      </c>
      <c r="B2" s="22">
        <v>0.96699999999999997</v>
      </c>
    </row>
    <row r="3" spans="1:2" ht="14" x14ac:dyDescent="0.15">
      <c r="A3" s="22" t="s">
        <v>37</v>
      </c>
      <c r="B3" s="22">
        <v>0.81599999999999995</v>
      </c>
    </row>
    <row r="4" spans="1:2" ht="14" x14ac:dyDescent="0.15">
      <c r="A4" s="22" t="s">
        <v>38</v>
      </c>
      <c r="B4" s="22">
        <v>0.82599999999999996</v>
      </c>
    </row>
    <row r="5" spans="1:2" ht="14" x14ac:dyDescent="0.15">
      <c r="A5" s="22" t="s">
        <v>39</v>
      </c>
      <c r="B5" s="22">
        <v>0.874</v>
      </c>
    </row>
    <row r="6" spans="1:2" ht="14" x14ac:dyDescent="0.15">
      <c r="A6" s="22" t="s">
        <v>40</v>
      </c>
      <c r="B6" s="22">
        <v>0.91700000000000004</v>
      </c>
    </row>
    <row r="7" spans="1:2" ht="14" x14ac:dyDescent="0.15">
      <c r="A7" s="22" t="s">
        <v>41</v>
      </c>
      <c r="B7" s="22">
        <v>0.92100000000000004</v>
      </c>
    </row>
    <row r="8" spans="1:2" ht="14" x14ac:dyDescent="0.15">
      <c r="A8" s="22" t="s">
        <v>42</v>
      </c>
      <c r="B8" s="22">
        <v>0.94</v>
      </c>
    </row>
    <row r="9" spans="1:2" ht="14" x14ac:dyDescent="0.15">
      <c r="A9" s="22" t="s">
        <v>43</v>
      </c>
      <c r="B9" s="22">
        <v>0.97</v>
      </c>
    </row>
    <row r="10" spans="1:2" ht="14" x14ac:dyDescent="0.15">
      <c r="A10" s="22" t="s">
        <v>44</v>
      </c>
      <c r="B10" s="22">
        <v>0.81699999999999995</v>
      </c>
    </row>
    <row r="11" spans="1:2" ht="14" x14ac:dyDescent="0.15">
      <c r="A11" s="22" t="s">
        <v>45</v>
      </c>
      <c r="B11" s="22">
        <v>0.755</v>
      </c>
    </row>
    <row r="12" spans="1:2" ht="14" x14ac:dyDescent="0.15">
      <c r="A12" s="22" t="s">
        <v>46</v>
      </c>
      <c r="B12" s="22">
        <v>0.72199999999999998</v>
      </c>
    </row>
    <row r="13" spans="1:2" ht="14" x14ac:dyDescent="0.15">
      <c r="A13" s="22" t="s">
        <v>47</v>
      </c>
      <c r="B13" s="22">
        <v>0.77500000000000002</v>
      </c>
    </row>
    <row r="14" spans="1:2" ht="14" x14ac:dyDescent="0.15">
      <c r="A14" s="22" t="s">
        <v>48</v>
      </c>
      <c r="B14" s="22">
        <v>0.77600000000000002</v>
      </c>
    </row>
    <row r="15" spans="1:2" ht="14" x14ac:dyDescent="0.15">
      <c r="A15" s="22" t="s">
        <v>49</v>
      </c>
      <c r="B15" s="22">
        <v>0.81699999999999995</v>
      </c>
    </row>
    <row r="16" spans="1:2" ht="14" x14ac:dyDescent="0.15">
      <c r="A16" s="22" t="s">
        <v>50</v>
      </c>
      <c r="B16" s="22">
        <v>0.878</v>
      </c>
    </row>
    <row r="17" spans="1:2" ht="14" x14ac:dyDescent="0.15">
      <c r="A17" s="22" t="s">
        <v>51</v>
      </c>
      <c r="B17" s="22">
        <v>0.874</v>
      </c>
    </row>
    <row r="18" spans="1:2" ht="14" x14ac:dyDescent="0.15">
      <c r="A18" s="22" t="s">
        <v>52</v>
      </c>
      <c r="B18" s="22">
        <v>0.90500000000000003</v>
      </c>
    </row>
    <row r="19" spans="1:2" ht="14" x14ac:dyDescent="0.15">
      <c r="A19" s="22" t="s">
        <v>53</v>
      </c>
      <c r="B19" s="22">
        <v>0.83399999999999996</v>
      </c>
    </row>
    <row r="20" spans="1:2" ht="14" x14ac:dyDescent="0.15">
      <c r="A20" s="22" t="s">
        <v>54</v>
      </c>
      <c r="B20" s="22">
        <v>0.95399999999999996</v>
      </c>
    </row>
    <row r="21" spans="1:2" ht="14" x14ac:dyDescent="0.15">
      <c r="A21" s="22" t="s">
        <v>55</v>
      </c>
      <c r="B21" s="22">
        <v>0.93200000000000005</v>
      </c>
    </row>
    <row r="22" spans="1:2" ht="14" x14ac:dyDescent="0.15">
      <c r="A22" s="22" t="s">
        <v>56</v>
      </c>
      <c r="B22" s="22">
        <v>1.04</v>
      </c>
    </row>
    <row r="23" spans="1:2" ht="14" x14ac:dyDescent="0.15">
      <c r="A23" s="22" t="s">
        <v>57</v>
      </c>
      <c r="B23" s="22">
        <v>0.96199999999999997</v>
      </c>
    </row>
    <row r="24" spans="1:2" ht="14" x14ac:dyDescent="0.15">
      <c r="A24" s="22" t="s">
        <v>58</v>
      </c>
      <c r="B24" s="22">
        <v>1.0009999999999999</v>
      </c>
    </row>
    <row r="25" spans="1:2" ht="14" x14ac:dyDescent="0.15">
      <c r="A25" s="22" t="s">
        <v>59</v>
      </c>
      <c r="B25" s="22">
        <v>0.88800000000000001</v>
      </c>
    </row>
    <row r="26" spans="1:2" ht="14" x14ac:dyDescent="0.15">
      <c r="A26" s="22" t="s">
        <v>60</v>
      </c>
      <c r="B26" s="22">
        <v>0.59699999999999998</v>
      </c>
    </row>
    <row r="27" spans="1:2" ht="14" x14ac:dyDescent="0.15">
      <c r="A27" s="22" t="s">
        <v>61</v>
      </c>
      <c r="B27" s="22">
        <v>0.46899999999999997</v>
      </c>
    </row>
    <row r="28" spans="1:2" ht="14" x14ac:dyDescent="0.15">
      <c r="A28" s="22" t="s">
        <v>62</v>
      </c>
      <c r="B28" s="22">
        <v>0.82199999999999995</v>
      </c>
    </row>
    <row r="29" spans="1:2" ht="14" x14ac:dyDescent="0.15">
      <c r="A29" s="22" t="s">
        <v>63</v>
      </c>
      <c r="B29" s="22">
        <v>0.79500000000000004</v>
      </c>
    </row>
    <row r="30" spans="1:2" ht="14" x14ac:dyDescent="0.15">
      <c r="A30" s="22" t="s">
        <v>64</v>
      </c>
      <c r="B30" s="22">
        <v>0.84099999999999997</v>
      </c>
    </row>
    <row r="31" spans="1:2" ht="14" x14ac:dyDescent="0.15">
      <c r="A31" s="22" t="s">
        <v>65</v>
      </c>
      <c r="B31" s="22">
        <v>0.70099999999999996</v>
      </c>
    </row>
    <row r="32" spans="1:2" ht="14" x14ac:dyDescent="0.15">
      <c r="A32" s="22" t="s">
        <v>66</v>
      </c>
      <c r="B32" s="22">
        <v>0.73599999999999999</v>
      </c>
    </row>
    <row r="33" spans="1:2" ht="14" x14ac:dyDescent="0.15">
      <c r="A33" s="22" t="s">
        <v>67</v>
      </c>
      <c r="B33" s="22">
        <v>0.86399999999999999</v>
      </c>
    </row>
    <row r="34" spans="1:2" ht="14" x14ac:dyDescent="0.15">
      <c r="A34" s="22" t="s">
        <v>68</v>
      </c>
      <c r="B34" s="22">
        <v>0.67200000000000004</v>
      </c>
    </row>
    <row r="35" spans="1:2" ht="14" x14ac:dyDescent="0.15">
      <c r="A35" s="22" t="s">
        <v>69</v>
      </c>
      <c r="B35" s="22">
        <v>0.53900000000000003</v>
      </c>
    </row>
    <row r="36" spans="1:2" ht="14" x14ac:dyDescent="0.15">
      <c r="A36" s="22" t="s">
        <v>70</v>
      </c>
      <c r="B36" s="22">
        <v>0.85799999999999998</v>
      </c>
    </row>
    <row r="37" spans="1:2" ht="14" x14ac:dyDescent="0.15">
      <c r="A37" s="22" t="s">
        <v>71</v>
      </c>
      <c r="B37" s="22">
        <v>0.749</v>
      </c>
    </row>
    <row r="38" spans="1:2" ht="14" x14ac:dyDescent="0.15">
      <c r="A38" s="22" t="s">
        <v>72</v>
      </c>
      <c r="B38" s="22">
        <v>1.056</v>
      </c>
    </row>
    <row r="39" spans="1:2" ht="14" x14ac:dyDescent="0.15">
      <c r="A39" s="22" t="s">
        <v>73</v>
      </c>
      <c r="B39" s="22">
        <v>0.71599999999999997</v>
      </c>
    </row>
    <row r="40" spans="1:2" ht="14" x14ac:dyDescent="0.15">
      <c r="A40" s="22" t="s">
        <v>74</v>
      </c>
      <c r="B40" s="22">
        <v>0.68</v>
      </c>
    </row>
    <row r="41" spans="1:2" ht="14" x14ac:dyDescent="0.15">
      <c r="A41" s="22" t="s">
        <v>75</v>
      </c>
      <c r="B41" s="22">
        <v>0.82799999999999996</v>
      </c>
    </row>
    <row r="42" spans="1:2" ht="14" x14ac:dyDescent="0.15">
      <c r="A42" s="22" t="s">
        <v>76</v>
      </c>
      <c r="B42" s="22">
        <v>0.74099999999999999</v>
      </c>
    </row>
    <row r="43" spans="1:2" ht="14" x14ac:dyDescent="0.15">
      <c r="A43" s="22" t="s">
        <v>77</v>
      </c>
      <c r="B43" s="22">
        <v>0.63200000000000001</v>
      </c>
    </row>
    <row r="44" spans="1:2" ht="14" x14ac:dyDescent="0.15">
      <c r="A44" s="22" t="s">
        <v>78</v>
      </c>
      <c r="B44" s="22">
        <v>0.95499999999999996</v>
      </c>
    </row>
    <row r="45" spans="1:2" ht="14" x14ac:dyDescent="0.15">
      <c r="A45" s="22" t="s">
        <v>79</v>
      </c>
      <c r="B45" s="22">
        <v>0.86299999999999999</v>
      </c>
    </row>
    <row r="46" spans="1:2" ht="14" x14ac:dyDescent="0.15">
      <c r="A46" s="22" t="s">
        <v>80</v>
      </c>
      <c r="B46" s="22">
        <v>0.90600000000000003</v>
      </c>
    </row>
    <row r="47" spans="1:2" ht="14" x14ac:dyDescent="0.15">
      <c r="A47" s="22" t="s">
        <v>81</v>
      </c>
      <c r="B47" s="22">
        <v>0.81799999999999995</v>
      </c>
    </row>
    <row r="48" spans="1:2" ht="14" x14ac:dyDescent="0.15">
      <c r="A48" s="22" t="s">
        <v>82</v>
      </c>
      <c r="B48" s="22">
        <v>0.71899999999999997</v>
      </c>
    </row>
    <row r="49" spans="1:2" ht="14" x14ac:dyDescent="0.15">
      <c r="A49" s="22" t="s">
        <v>83</v>
      </c>
      <c r="B49" s="22">
        <v>0.86599999999999999</v>
      </c>
    </row>
    <row r="50" spans="1:2" ht="14" x14ac:dyDescent="0.15">
      <c r="A50" s="22" t="s">
        <v>84</v>
      </c>
      <c r="B50" s="22">
        <v>0.70699999999999996</v>
      </c>
    </row>
    <row r="51" spans="1:2" ht="14" x14ac:dyDescent="0.15">
      <c r="A51" s="22" t="s">
        <v>85</v>
      </c>
      <c r="B51" s="22">
        <v>0.65500000000000003</v>
      </c>
    </row>
    <row r="52" spans="1:2" ht="14" x14ac:dyDescent="0.15">
      <c r="A52" s="22" t="s">
        <v>86</v>
      </c>
      <c r="B52" s="22">
        <v>1.127</v>
      </c>
    </row>
    <row r="53" spans="1:2" ht="14" x14ac:dyDescent="0.15">
      <c r="A53" s="22" t="s">
        <v>87</v>
      </c>
      <c r="B53" s="22">
        <v>1.0149999999999999</v>
      </c>
    </row>
    <row r="54" spans="1:2" ht="14" x14ac:dyDescent="0.15">
      <c r="A54" s="22" t="s">
        <v>88</v>
      </c>
      <c r="B54" s="22">
        <v>1.0900000000000001</v>
      </c>
    </row>
    <row r="55" spans="1:2" ht="14" x14ac:dyDescent="0.15">
      <c r="A55" s="22" t="s">
        <v>89</v>
      </c>
      <c r="B55" s="22">
        <v>0.91100000000000003</v>
      </c>
    </row>
    <row r="56" spans="1:2" ht="14" x14ac:dyDescent="0.15">
      <c r="A56" s="22" t="s">
        <v>90</v>
      </c>
      <c r="B56" s="22">
        <v>0.96</v>
      </c>
    </row>
    <row r="57" spans="1:2" ht="14" x14ac:dyDescent="0.15">
      <c r="A57" s="22" t="s">
        <v>91</v>
      </c>
      <c r="B57" s="22">
        <v>9.5000000000000001E-2</v>
      </c>
    </row>
    <row r="58" spans="1:2" ht="14" x14ac:dyDescent="0.15">
      <c r="A58" s="22" t="s">
        <v>92</v>
      </c>
      <c r="B58" s="22">
        <v>0.57599999999999996</v>
      </c>
    </row>
    <row r="59" spans="1:2" ht="14" x14ac:dyDescent="0.15">
      <c r="A59" s="22" t="s">
        <v>93</v>
      </c>
      <c r="B59" s="22">
        <v>0.50700000000000001</v>
      </c>
    </row>
    <row r="60" spans="1:2" ht="14" x14ac:dyDescent="0.15">
      <c r="A60" s="22" t="s">
        <v>94</v>
      </c>
      <c r="B60" s="22">
        <v>0.71399999999999997</v>
      </c>
    </row>
    <row r="61" spans="1:2" ht="14" x14ac:dyDescent="0.15">
      <c r="A61" s="22" t="s">
        <v>95</v>
      </c>
      <c r="B61" s="22">
        <v>0.77200000000000002</v>
      </c>
    </row>
    <row r="62" spans="1:2" ht="14" x14ac:dyDescent="0.15">
      <c r="A62" s="22" t="s">
        <v>96</v>
      </c>
      <c r="B62" s="22">
        <v>1.022</v>
      </c>
    </row>
    <row r="63" spans="1:2" ht="14" x14ac:dyDescent="0.15">
      <c r="A63" s="22" t="s">
        <v>97</v>
      </c>
      <c r="B63" s="22">
        <v>0.85199999999999998</v>
      </c>
    </row>
    <row r="64" spans="1:2" ht="14" x14ac:dyDescent="0.15">
      <c r="A64" s="22" t="s">
        <v>98</v>
      </c>
      <c r="B64" s="22">
        <v>0.64200000000000002</v>
      </c>
    </row>
    <row r="65" spans="1:2" ht="14" x14ac:dyDescent="0.15">
      <c r="A65" s="22" t="s">
        <v>99</v>
      </c>
      <c r="B65" s="22">
        <v>0.10199999999999999</v>
      </c>
    </row>
    <row r="66" spans="1:2" ht="14" x14ac:dyDescent="0.15">
      <c r="A66" s="22" t="s">
        <v>100</v>
      </c>
      <c r="B66" s="22">
        <v>0.38100000000000001</v>
      </c>
    </row>
    <row r="67" spans="1:2" ht="14" x14ac:dyDescent="0.15">
      <c r="A67" s="22" t="s">
        <v>101</v>
      </c>
      <c r="B67" s="22">
        <v>0.35499999999999998</v>
      </c>
    </row>
    <row r="68" spans="1:2" ht="14" x14ac:dyDescent="0.15">
      <c r="A68" s="22" t="s">
        <v>102</v>
      </c>
      <c r="B68" s="22">
        <v>0.42899999999999999</v>
      </c>
    </row>
    <row r="69" spans="1:2" ht="14" x14ac:dyDescent="0.15">
      <c r="A69" s="22" t="s">
        <v>103</v>
      </c>
      <c r="B69" s="22">
        <v>0.56100000000000005</v>
      </c>
    </row>
    <row r="70" spans="1:2" ht="14" x14ac:dyDescent="0.15">
      <c r="A70" s="22" t="s">
        <v>104</v>
      </c>
      <c r="B70" s="22">
        <v>0.57699999999999996</v>
      </c>
    </row>
    <row r="71" spans="1:2" ht="14" x14ac:dyDescent="0.15">
      <c r="A71" s="22" t="s">
        <v>105</v>
      </c>
      <c r="B71" s="22">
        <v>0.42599999999999999</v>
      </c>
    </row>
    <row r="72" spans="1:2" ht="14" x14ac:dyDescent="0.15">
      <c r="A72" s="22" t="s">
        <v>106</v>
      </c>
      <c r="B72" s="22">
        <v>0.29599999999999999</v>
      </c>
    </row>
    <row r="73" spans="1:2" ht="14" x14ac:dyDescent="0.15">
      <c r="A73" s="22" t="s">
        <v>107</v>
      </c>
      <c r="B73" s="22">
        <v>0.112</v>
      </c>
    </row>
    <row r="74" spans="1:2" ht="14" x14ac:dyDescent="0.15">
      <c r="A74" s="22" t="s">
        <v>108</v>
      </c>
      <c r="B74" s="22">
        <v>0.91400000000000003</v>
      </c>
    </row>
    <row r="75" spans="1:2" ht="14" x14ac:dyDescent="0.15">
      <c r="A75" s="22" t="s">
        <v>109</v>
      </c>
      <c r="B75" s="22">
        <v>0.97599999999999998</v>
      </c>
    </row>
    <row r="76" spans="1:2" ht="14" x14ac:dyDescent="0.15">
      <c r="A76" s="22" t="s">
        <v>110</v>
      </c>
      <c r="B76" s="22">
        <v>1.27</v>
      </c>
    </row>
    <row r="77" spans="1:2" ht="14" x14ac:dyDescent="0.15">
      <c r="A77" s="22" t="s">
        <v>111</v>
      </c>
      <c r="B77" s="22">
        <v>1.345</v>
      </c>
    </row>
    <row r="78" spans="1:2" ht="14" x14ac:dyDescent="0.15">
      <c r="A78" s="22" t="s">
        <v>112</v>
      </c>
      <c r="B78" s="22">
        <v>1.216</v>
      </c>
    </row>
    <row r="79" spans="1:2" ht="14" x14ac:dyDescent="0.15">
      <c r="A79" s="22" t="s">
        <v>113</v>
      </c>
      <c r="B79" s="22">
        <v>1.169</v>
      </c>
    </row>
    <row r="80" spans="1:2" ht="14" x14ac:dyDescent="0.15">
      <c r="A80" s="22" t="s">
        <v>114</v>
      </c>
      <c r="B80" s="22">
        <v>0.99099999999999999</v>
      </c>
    </row>
    <row r="81" spans="1:2" ht="14" x14ac:dyDescent="0.15">
      <c r="A81" s="22" t="s">
        <v>115</v>
      </c>
      <c r="B81" s="22">
        <v>8.8999999999999996E-2</v>
      </c>
    </row>
    <row r="82" spans="1:2" ht="14" x14ac:dyDescent="0.15">
      <c r="A82" s="22" t="s">
        <v>116</v>
      </c>
      <c r="B82" s="22">
        <v>0.83899999999999997</v>
      </c>
    </row>
    <row r="83" spans="1:2" ht="14" x14ac:dyDescent="0.15">
      <c r="A83" s="22" t="s">
        <v>117</v>
      </c>
      <c r="B83" s="22">
        <v>0.77700000000000002</v>
      </c>
    </row>
    <row r="84" spans="1:2" ht="14" x14ac:dyDescent="0.15">
      <c r="A84" s="22" t="s">
        <v>118</v>
      </c>
      <c r="B84" s="22">
        <v>0.86799999999999999</v>
      </c>
    </row>
    <row r="85" spans="1:2" ht="14" x14ac:dyDescent="0.15">
      <c r="A85" s="22" t="s">
        <v>119</v>
      </c>
      <c r="B85" s="22">
        <v>0.74099999999999999</v>
      </c>
    </row>
    <row r="86" spans="1:2" ht="14" x14ac:dyDescent="0.15">
      <c r="A86" s="22" t="s">
        <v>120</v>
      </c>
      <c r="B86" s="22">
        <v>0.84499999999999997</v>
      </c>
    </row>
    <row r="87" spans="1:2" ht="14" x14ac:dyDescent="0.15">
      <c r="A87" s="22" t="s">
        <v>121</v>
      </c>
      <c r="B87" s="22">
        <v>0.75600000000000001</v>
      </c>
    </row>
    <row r="88" spans="1:2" ht="14" x14ac:dyDescent="0.15">
      <c r="A88" s="22" t="s">
        <v>122</v>
      </c>
      <c r="B88" s="22">
        <v>0.81</v>
      </c>
    </row>
    <row r="89" spans="1:2" ht="14" x14ac:dyDescent="0.15">
      <c r="A89" s="22" t="s">
        <v>123</v>
      </c>
      <c r="B89" s="22">
        <v>0.10199999999999999</v>
      </c>
    </row>
    <row r="90" spans="1:2" ht="14" x14ac:dyDescent="0.15">
      <c r="A90" s="22" t="s">
        <v>124</v>
      </c>
      <c r="B90" s="22">
        <v>0.95699999999999996</v>
      </c>
    </row>
    <row r="91" spans="1:2" ht="14" x14ac:dyDescent="0.15">
      <c r="A91" s="22" t="s">
        <v>125</v>
      </c>
      <c r="B91" s="22">
        <v>0.85399999999999998</v>
      </c>
    </row>
    <row r="92" spans="1:2" ht="14" x14ac:dyDescent="0.15">
      <c r="A92" s="22" t="s">
        <v>126</v>
      </c>
      <c r="B92" s="22">
        <v>0.92900000000000005</v>
      </c>
    </row>
    <row r="93" spans="1:2" ht="14" x14ac:dyDescent="0.15">
      <c r="A93" s="22" t="s">
        <v>127</v>
      </c>
      <c r="B93" s="22">
        <v>0.82699999999999996</v>
      </c>
    </row>
    <row r="94" spans="1:2" ht="14" x14ac:dyDescent="0.15">
      <c r="A94" s="22" t="s">
        <v>128</v>
      </c>
      <c r="B94" s="22">
        <v>0.83</v>
      </c>
    </row>
    <row r="95" spans="1:2" ht="14" x14ac:dyDescent="0.15">
      <c r="A95" s="22" t="s">
        <v>129</v>
      </c>
      <c r="B95" s="22">
        <v>0.83</v>
      </c>
    </row>
    <row r="96" spans="1:2" ht="14" x14ac:dyDescent="0.15">
      <c r="A96" s="22" t="s">
        <v>130</v>
      </c>
      <c r="B96" s="22">
        <v>0.96699999999999997</v>
      </c>
    </row>
    <row r="97" spans="1:2" ht="14" x14ac:dyDescent="0.15">
      <c r="A97" s="22" t="s">
        <v>131</v>
      </c>
      <c r="B97" s="22">
        <v>0.104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4"/>
  <sheetViews>
    <sheetView topLeftCell="A13" workbookViewId="0">
      <selection activeCell="G49" sqref="G49"/>
    </sheetView>
  </sheetViews>
  <sheetFormatPr baseColWidth="10" defaultColWidth="9.1640625" defaultRowHeight="13" x14ac:dyDescent="0.15"/>
  <cols>
    <col min="1" max="1" width="20.6640625" style="23" customWidth="1"/>
    <col min="2" max="2" width="12.6640625" style="23" customWidth="1"/>
    <col min="3" max="16384" width="9.1640625" style="23"/>
  </cols>
  <sheetData>
    <row r="2" spans="1:2" x14ac:dyDescent="0.15">
      <c r="A2" s="23" t="s">
        <v>0</v>
      </c>
      <c r="B2" s="23" t="s">
        <v>1</v>
      </c>
    </row>
    <row r="4" spans="1:2" x14ac:dyDescent="0.15">
      <c r="A4" s="23" t="s">
        <v>2</v>
      </c>
    </row>
    <row r="5" spans="1:2" x14ac:dyDescent="0.15">
      <c r="A5" s="23" t="s">
        <v>3</v>
      </c>
    </row>
    <row r="6" spans="1:2" x14ac:dyDescent="0.15">
      <c r="A6" s="23" t="s">
        <v>4</v>
      </c>
      <c r="B6" s="23" t="s">
        <v>133</v>
      </c>
    </row>
    <row r="7" spans="1:2" x14ac:dyDescent="0.15">
      <c r="A7" s="23" t="s">
        <v>6</v>
      </c>
      <c r="B7" s="24">
        <v>45617</v>
      </c>
    </row>
    <row r="8" spans="1:2" x14ac:dyDescent="0.15">
      <c r="A8" s="23" t="s">
        <v>7</v>
      </c>
      <c r="B8" s="25">
        <v>0.61168981481481477</v>
      </c>
    </row>
    <row r="9" spans="1:2" x14ac:dyDescent="0.15">
      <c r="A9" s="23" t="s">
        <v>8</v>
      </c>
      <c r="B9" s="23" t="s">
        <v>9</v>
      </c>
    </row>
    <row r="10" spans="1:2" x14ac:dyDescent="0.15">
      <c r="A10" s="23" t="s">
        <v>10</v>
      </c>
      <c r="B10" s="23">
        <v>1909168</v>
      </c>
    </row>
    <row r="11" spans="1:2" x14ac:dyDescent="0.15">
      <c r="A11" s="23" t="s">
        <v>11</v>
      </c>
      <c r="B11" s="23" t="s">
        <v>12</v>
      </c>
    </row>
    <row r="13" spans="1:2" ht="14" x14ac:dyDescent="0.15">
      <c r="A13" s="26" t="s">
        <v>13</v>
      </c>
      <c r="B13" s="27"/>
    </row>
    <row r="14" spans="1:2" x14ac:dyDescent="0.15">
      <c r="A14" s="23" t="s">
        <v>14</v>
      </c>
      <c r="B14" s="23" t="s">
        <v>15</v>
      </c>
    </row>
    <row r="15" spans="1:2" x14ac:dyDescent="0.15">
      <c r="A15" s="23" t="s">
        <v>16</v>
      </c>
    </row>
    <row r="16" spans="1:2" x14ac:dyDescent="0.15">
      <c r="A16" s="23" t="s">
        <v>17</v>
      </c>
      <c r="B16" s="23" t="s">
        <v>18</v>
      </c>
    </row>
    <row r="17" spans="1:15" x14ac:dyDescent="0.15">
      <c r="B17" s="23" t="s">
        <v>19</v>
      </c>
    </row>
    <row r="18" spans="1:15" x14ac:dyDescent="0.15">
      <c r="A18" s="23" t="s">
        <v>20</v>
      </c>
      <c r="B18" s="23" t="s">
        <v>21</v>
      </c>
    </row>
    <row r="19" spans="1:15" x14ac:dyDescent="0.15">
      <c r="B19" s="23" t="s">
        <v>22</v>
      </c>
    </row>
    <row r="20" spans="1:15" x14ac:dyDescent="0.15">
      <c r="B20" s="23" t="s">
        <v>23</v>
      </c>
    </row>
    <row r="21" spans="1:15" x14ac:dyDescent="0.15">
      <c r="B21" s="23" t="s">
        <v>24</v>
      </c>
    </row>
    <row r="23" spans="1:15" ht="14" x14ac:dyDescent="0.15">
      <c r="A23" s="26" t="s">
        <v>25</v>
      </c>
      <c r="B23" s="27"/>
    </row>
    <row r="24" spans="1:15" x14ac:dyDescent="0.15">
      <c r="A24" s="23" t="s">
        <v>26</v>
      </c>
      <c r="B24" s="23">
        <v>21.4</v>
      </c>
    </row>
    <row r="26" spans="1:15" x14ac:dyDescent="0.15">
      <c r="B26" s="28"/>
      <c r="C26" s="29">
        <v>1</v>
      </c>
      <c r="D26" s="29">
        <v>2</v>
      </c>
      <c r="E26" s="29">
        <v>3</v>
      </c>
      <c r="F26" s="29">
        <v>4</v>
      </c>
      <c r="G26" s="29">
        <v>5</v>
      </c>
      <c r="H26" s="29">
        <v>6</v>
      </c>
      <c r="I26" s="29">
        <v>7</v>
      </c>
      <c r="J26" s="29">
        <v>8</v>
      </c>
      <c r="K26" s="29">
        <v>9</v>
      </c>
      <c r="L26" s="29">
        <v>10</v>
      </c>
      <c r="M26" s="29">
        <v>11</v>
      </c>
      <c r="N26" s="29">
        <v>12</v>
      </c>
    </row>
    <row r="27" spans="1:15" ht="14" x14ac:dyDescent="0.15">
      <c r="B27" s="29" t="s">
        <v>27</v>
      </c>
      <c r="C27" s="32">
        <v>0.88500000000000001</v>
      </c>
      <c r="D27" s="37">
        <v>0.84799999999999998</v>
      </c>
      <c r="E27" s="32">
        <v>0.91300000000000003</v>
      </c>
      <c r="F27" s="37">
        <v>0.83099999999999996</v>
      </c>
      <c r="G27" s="38">
        <v>0.72</v>
      </c>
      <c r="H27" s="37">
        <v>0.86599999999999999</v>
      </c>
      <c r="I27" s="33">
        <v>0.95699999999999996</v>
      </c>
      <c r="J27" s="32">
        <v>0.89400000000000002</v>
      </c>
      <c r="K27" s="32">
        <v>0.90200000000000002</v>
      </c>
      <c r="L27" s="33">
        <v>0.99399999999999999</v>
      </c>
      <c r="M27" s="32">
        <v>0.90200000000000002</v>
      </c>
      <c r="N27" s="34">
        <v>1.028</v>
      </c>
      <c r="O27" s="36">
        <v>450</v>
      </c>
    </row>
    <row r="28" spans="1:15" ht="14" x14ac:dyDescent="0.15">
      <c r="B28" s="29" t="s">
        <v>28</v>
      </c>
      <c r="C28" s="32">
        <v>0.88900000000000001</v>
      </c>
      <c r="D28" s="35">
        <v>0.81499999999999995</v>
      </c>
      <c r="E28" s="35">
        <v>0.80300000000000005</v>
      </c>
      <c r="F28" s="37">
        <v>0.85799999999999998</v>
      </c>
      <c r="G28" s="44">
        <v>0.66700000000000004</v>
      </c>
      <c r="H28" s="37">
        <v>0.84399999999999997</v>
      </c>
      <c r="I28" s="37">
        <v>0.82799999999999996</v>
      </c>
      <c r="J28" s="38">
        <v>0.70599999999999996</v>
      </c>
      <c r="K28" s="44">
        <v>0.67400000000000004</v>
      </c>
      <c r="L28" s="37">
        <v>0.876</v>
      </c>
      <c r="M28" s="37">
        <v>0.82099999999999995</v>
      </c>
      <c r="N28" s="33">
        <v>0.95199999999999996</v>
      </c>
      <c r="O28" s="36">
        <v>450</v>
      </c>
    </row>
    <row r="29" spans="1:15" ht="14" x14ac:dyDescent="0.15">
      <c r="B29" s="29" t="s">
        <v>29</v>
      </c>
      <c r="C29" s="32">
        <v>0.90700000000000003</v>
      </c>
      <c r="D29" s="38">
        <v>0.73099999999999998</v>
      </c>
      <c r="E29" s="32">
        <v>0.93500000000000005</v>
      </c>
      <c r="F29" s="32">
        <v>0.89200000000000002</v>
      </c>
      <c r="G29" s="35">
        <v>0.79500000000000004</v>
      </c>
      <c r="H29" s="32">
        <v>0.93899999999999995</v>
      </c>
      <c r="I29" s="34">
        <v>1.0149999999999999</v>
      </c>
      <c r="J29" s="32">
        <v>0.92100000000000004</v>
      </c>
      <c r="K29" s="38">
        <v>0.71599999999999997</v>
      </c>
      <c r="L29" s="37">
        <v>0.84899999999999998</v>
      </c>
      <c r="M29" s="38">
        <v>0.72799999999999998</v>
      </c>
      <c r="N29" s="37">
        <v>0.86</v>
      </c>
      <c r="O29" s="36">
        <v>450</v>
      </c>
    </row>
    <row r="30" spans="1:15" ht="14" x14ac:dyDescent="0.15">
      <c r="B30" s="29" t="s">
        <v>30</v>
      </c>
      <c r="C30" s="37">
        <v>0.85299999999999998</v>
      </c>
      <c r="D30" s="35">
        <v>0.79500000000000004</v>
      </c>
      <c r="E30" s="37">
        <v>0.86499999999999999</v>
      </c>
      <c r="F30" s="31">
        <v>1.0900000000000001</v>
      </c>
      <c r="G30" s="34">
        <v>1.056</v>
      </c>
      <c r="H30" s="40">
        <v>1.4710000000000001</v>
      </c>
      <c r="I30" s="31">
        <v>1.105</v>
      </c>
      <c r="J30" s="35">
        <v>0.75800000000000001</v>
      </c>
      <c r="K30" s="38">
        <v>0.69299999999999995</v>
      </c>
      <c r="L30" s="37">
        <v>0.85199999999999998</v>
      </c>
      <c r="M30" s="35">
        <v>0.76200000000000001</v>
      </c>
      <c r="N30" s="37">
        <v>0.86399999999999999</v>
      </c>
      <c r="O30" s="36">
        <v>450</v>
      </c>
    </row>
    <row r="31" spans="1:15" ht="14" x14ac:dyDescent="0.15">
      <c r="B31" s="29" t="s">
        <v>31</v>
      </c>
      <c r="C31" s="32">
        <v>0.92500000000000004</v>
      </c>
      <c r="D31" s="32">
        <v>0.88300000000000001</v>
      </c>
      <c r="E31" s="37">
        <v>0.85799999999999998</v>
      </c>
      <c r="F31" s="41">
        <v>1.218</v>
      </c>
      <c r="G31" s="32">
        <v>0.92600000000000005</v>
      </c>
      <c r="H31" s="39">
        <v>1.3109999999999999</v>
      </c>
      <c r="I31" s="42">
        <v>1.3720000000000001</v>
      </c>
      <c r="J31" s="30">
        <v>1.1919999999999999</v>
      </c>
      <c r="K31" s="31">
        <v>1.083</v>
      </c>
      <c r="L31" s="30">
        <v>1.145</v>
      </c>
      <c r="M31" s="35">
        <v>0.77200000000000002</v>
      </c>
      <c r="N31" s="37">
        <v>0.83799999999999997</v>
      </c>
      <c r="O31" s="36">
        <v>450</v>
      </c>
    </row>
    <row r="32" spans="1:15" ht="14" x14ac:dyDescent="0.15">
      <c r="B32" s="29" t="s">
        <v>32</v>
      </c>
      <c r="C32" s="32">
        <v>0.93300000000000005</v>
      </c>
      <c r="D32" s="32">
        <v>0.92500000000000004</v>
      </c>
      <c r="E32" s="37">
        <v>0.86399999999999999</v>
      </c>
      <c r="F32" s="34">
        <v>1.0760000000000001</v>
      </c>
      <c r="G32" s="44">
        <v>0.625</v>
      </c>
      <c r="H32" s="34">
        <v>1.0569999999999999</v>
      </c>
      <c r="I32" s="31">
        <v>1.107</v>
      </c>
      <c r="J32" s="31">
        <v>1.1180000000000001</v>
      </c>
      <c r="K32" s="33">
        <v>1.0089999999999999</v>
      </c>
      <c r="L32" s="34">
        <v>1.0469999999999999</v>
      </c>
      <c r="M32" s="35">
        <v>0.79800000000000004</v>
      </c>
      <c r="N32" s="35">
        <v>0.81699999999999995</v>
      </c>
      <c r="O32" s="36">
        <v>450</v>
      </c>
    </row>
    <row r="33" spans="2:15" ht="14" x14ac:dyDescent="0.15">
      <c r="B33" s="29" t="s">
        <v>33</v>
      </c>
      <c r="C33" s="37">
        <v>0.871</v>
      </c>
      <c r="D33" s="32">
        <v>0.93300000000000005</v>
      </c>
      <c r="E33" s="35">
        <v>0.79400000000000004</v>
      </c>
      <c r="F33" s="37">
        <v>0.86399999999999999</v>
      </c>
      <c r="G33" s="38">
        <v>0.72199999999999998</v>
      </c>
      <c r="H33" s="32">
        <v>0.93200000000000005</v>
      </c>
      <c r="I33" s="32">
        <v>0.90100000000000002</v>
      </c>
      <c r="J33" s="32">
        <v>0.90800000000000003</v>
      </c>
      <c r="K33" s="44">
        <v>0.64300000000000002</v>
      </c>
      <c r="L33" s="37">
        <v>0.83299999999999996</v>
      </c>
      <c r="M33" s="32">
        <v>0.94</v>
      </c>
      <c r="N33" s="37">
        <v>0.83199999999999996</v>
      </c>
      <c r="O33" s="36">
        <v>450</v>
      </c>
    </row>
    <row r="34" spans="2:15" ht="14" x14ac:dyDescent="0.15">
      <c r="B34" s="29" t="s">
        <v>34</v>
      </c>
      <c r="C34" s="32">
        <v>0.91800000000000004</v>
      </c>
      <c r="D34" s="37">
        <v>0.878</v>
      </c>
      <c r="E34" s="37">
        <v>0.82099999999999995</v>
      </c>
      <c r="F34" s="35">
        <v>0.79500000000000004</v>
      </c>
      <c r="G34" s="38">
        <v>0.69599999999999995</v>
      </c>
      <c r="H34" s="32">
        <v>0.89600000000000002</v>
      </c>
      <c r="I34" s="37">
        <v>0.86699999999999999</v>
      </c>
      <c r="J34" s="38">
        <v>0.71799999999999997</v>
      </c>
      <c r="K34" s="43">
        <v>0.55600000000000005</v>
      </c>
      <c r="L34" s="35">
        <v>0.79700000000000004</v>
      </c>
      <c r="M34" s="33">
        <v>0.96599999999999997</v>
      </c>
      <c r="N34" s="37">
        <v>0.83899999999999997</v>
      </c>
      <c r="O34" s="36">
        <v>450</v>
      </c>
    </row>
    <row r="36" spans="2:15" ht="14" x14ac:dyDescent="0.15">
      <c r="B36" s="5" t="s">
        <v>134</v>
      </c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  <c r="I36" s="6">
        <v>7</v>
      </c>
      <c r="J36" s="6">
        <v>8</v>
      </c>
      <c r="K36" s="6">
        <v>9</v>
      </c>
      <c r="L36" s="6">
        <v>10</v>
      </c>
      <c r="M36" s="6">
        <v>11</v>
      </c>
      <c r="N36" s="6">
        <v>12</v>
      </c>
    </row>
    <row r="37" spans="2:15" ht="14" x14ac:dyDescent="0.15">
      <c r="B37" s="6" t="s">
        <v>27</v>
      </c>
      <c r="C37" s="45">
        <f>AVERAGE(C27:E27)</f>
        <v>0.88200000000000001</v>
      </c>
      <c r="D37"/>
      <c r="E37"/>
      <c r="F37" s="45">
        <f>AVERAGE(F27:H27)</f>
        <v>0.80566666666666664</v>
      </c>
      <c r="G37"/>
      <c r="H37"/>
      <c r="I37" s="45">
        <f>AVERAGE(I27:K27)</f>
        <v>0.91766666666666674</v>
      </c>
      <c r="J37"/>
      <c r="K37"/>
      <c r="L37" s="45">
        <f>AVERAGE(L27:N27)</f>
        <v>0.97466666666666668</v>
      </c>
      <c r="M37"/>
      <c r="N37"/>
    </row>
    <row r="38" spans="2:15" ht="14" x14ac:dyDescent="0.15">
      <c r="B38" s="6" t="s">
        <v>28</v>
      </c>
      <c r="C38" s="45">
        <f t="shared" ref="C38:C44" si="0">AVERAGE(C28:E28)</f>
        <v>0.83566666666666667</v>
      </c>
      <c r="D38"/>
      <c r="E38"/>
      <c r="F38" s="45">
        <f t="shared" ref="F38:F44" si="1">AVERAGE(F28:H28)</f>
        <v>0.78966666666666663</v>
      </c>
      <c r="G38"/>
      <c r="H38"/>
      <c r="I38" s="45">
        <f t="shared" ref="I38:I44" si="2">AVERAGE(I28:K28)</f>
        <v>0.73599999999999988</v>
      </c>
      <c r="J38"/>
      <c r="K38"/>
      <c r="L38" s="45">
        <f t="shared" ref="L38:L44" si="3">AVERAGE(L28:N28)</f>
        <v>0.88300000000000001</v>
      </c>
      <c r="M38"/>
      <c r="N38"/>
    </row>
    <row r="39" spans="2:15" ht="14" x14ac:dyDescent="0.15">
      <c r="B39" s="6" t="s">
        <v>29</v>
      </c>
      <c r="C39" s="45">
        <f t="shared" si="0"/>
        <v>0.85766666666666669</v>
      </c>
      <c r="D39"/>
      <c r="E39"/>
      <c r="F39" s="45">
        <f t="shared" si="1"/>
        <v>0.8753333333333333</v>
      </c>
      <c r="G39"/>
      <c r="H39"/>
      <c r="I39" s="45">
        <f t="shared" si="2"/>
        <v>0.88400000000000001</v>
      </c>
      <c r="J39"/>
      <c r="K39"/>
      <c r="L39" s="45">
        <f t="shared" si="3"/>
        <v>0.81233333333333324</v>
      </c>
      <c r="M39"/>
      <c r="N39"/>
    </row>
    <row r="40" spans="2:15" ht="14" x14ac:dyDescent="0.15">
      <c r="B40" s="6" t="s">
        <v>30</v>
      </c>
      <c r="C40" s="45">
        <f t="shared" si="0"/>
        <v>0.83766666666666667</v>
      </c>
      <c r="D40"/>
      <c r="E40"/>
      <c r="F40" s="45">
        <f t="shared" si="1"/>
        <v>1.2056666666666667</v>
      </c>
      <c r="G40"/>
      <c r="H40"/>
      <c r="I40" s="45">
        <f t="shared" si="2"/>
        <v>0.85199999999999998</v>
      </c>
      <c r="J40"/>
      <c r="K40"/>
      <c r="L40" s="45">
        <f t="shared" si="3"/>
        <v>0.82599999999999996</v>
      </c>
      <c r="M40"/>
      <c r="N40"/>
    </row>
    <row r="41" spans="2:15" ht="14" x14ac:dyDescent="0.15">
      <c r="B41" s="6" t="s">
        <v>31</v>
      </c>
      <c r="C41" s="45">
        <f t="shared" si="0"/>
        <v>0.8886666666666666</v>
      </c>
      <c r="D41"/>
      <c r="E41"/>
      <c r="F41" s="45">
        <f t="shared" si="1"/>
        <v>1.1516666666666666</v>
      </c>
      <c r="G41"/>
      <c r="H41"/>
      <c r="I41" s="45">
        <f t="shared" si="2"/>
        <v>1.2156666666666667</v>
      </c>
      <c r="J41"/>
      <c r="K41"/>
      <c r="L41" s="45">
        <f t="shared" si="3"/>
        <v>0.91833333333333333</v>
      </c>
      <c r="M41"/>
      <c r="N41"/>
    </row>
    <row r="42" spans="2:15" ht="14" x14ac:dyDescent="0.15">
      <c r="B42" s="6" t="s">
        <v>32</v>
      </c>
      <c r="C42" s="45">
        <f t="shared" si="0"/>
        <v>0.90733333333333333</v>
      </c>
      <c r="D42"/>
      <c r="E42"/>
      <c r="F42" s="45">
        <f t="shared" si="1"/>
        <v>0.91933333333333334</v>
      </c>
      <c r="G42"/>
      <c r="H42"/>
      <c r="I42" s="45">
        <f t="shared" si="2"/>
        <v>1.0780000000000001</v>
      </c>
      <c r="J42"/>
      <c r="K42"/>
      <c r="L42" s="45">
        <f t="shared" si="3"/>
        <v>0.88733333333333331</v>
      </c>
      <c r="M42"/>
      <c r="N42"/>
    </row>
    <row r="43" spans="2:15" ht="14" x14ac:dyDescent="0.15">
      <c r="B43" s="6" t="s">
        <v>33</v>
      </c>
      <c r="C43" s="45">
        <f t="shared" si="0"/>
        <v>0.86599999999999999</v>
      </c>
      <c r="D43"/>
      <c r="E43"/>
      <c r="F43" s="45">
        <f t="shared" si="1"/>
        <v>0.83933333333333326</v>
      </c>
      <c r="G43"/>
      <c r="H43"/>
      <c r="I43" s="45">
        <f t="shared" si="2"/>
        <v>0.81733333333333336</v>
      </c>
      <c r="J43"/>
      <c r="K43"/>
      <c r="L43" s="45">
        <f t="shared" si="3"/>
        <v>0.86833333333333329</v>
      </c>
      <c r="M43"/>
      <c r="N43"/>
    </row>
    <row r="44" spans="2:15" ht="14" x14ac:dyDescent="0.15">
      <c r="B44" s="6" t="s">
        <v>34</v>
      </c>
      <c r="C44" s="45">
        <f t="shared" si="0"/>
        <v>0.87233333333333329</v>
      </c>
      <c r="D44"/>
      <c r="E44"/>
      <c r="F44" s="45">
        <f t="shared" si="1"/>
        <v>0.79566666666666663</v>
      </c>
      <c r="G44"/>
      <c r="H44"/>
      <c r="I44" s="45">
        <f t="shared" si="2"/>
        <v>0.71366666666666667</v>
      </c>
      <c r="J44"/>
      <c r="K44"/>
      <c r="L44" s="45">
        <f t="shared" si="3"/>
        <v>0.86733333333333329</v>
      </c>
      <c r="M44"/>
      <c r="N44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7"/>
  <sheetViews>
    <sheetView workbookViewId="0">
      <selection sqref="A1:B97"/>
    </sheetView>
  </sheetViews>
  <sheetFormatPr baseColWidth="10" defaultColWidth="8.83203125" defaultRowHeight="13" x14ac:dyDescent="0.15"/>
  <sheetData>
    <row r="1" spans="1:2" ht="14" x14ac:dyDescent="0.15">
      <c r="A1" s="6" t="s">
        <v>35</v>
      </c>
      <c r="B1" s="6">
        <v>450</v>
      </c>
    </row>
    <row r="2" spans="1:2" ht="14" x14ac:dyDescent="0.15">
      <c r="A2" s="22" t="s">
        <v>36</v>
      </c>
      <c r="B2" s="22">
        <v>0.88500000000000001</v>
      </c>
    </row>
    <row r="3" spans="1:2" ht="14" x14ac:dyDescent="0.15">
      <c r="A3" s="22" t="s">
        <v>37</v>
      </c>
      <c r="B3" s="22">
        <v>0.88900000000000001</v>
      </c>
    </row>
    <row r="4" spans="1:2" ht="14" x14ac:dyDescent="0.15">
      <c r="A4" s="22" t="s">
        <v>38</v>
      </c>
      <c r="B4" s="22">
        <v>0.90700000000000003</v>
      </c>
    </row>
    <row r="5" spans="1:2" ht="14" x14ac:dyDescent="0.15">
      <c r="A5" s="22" t="s">
        <v>39</v>
      </c>
      <c r="B5" s="22">
        <v>0.85299999999999998</v>
      </c>
    </row>
    <row r="6" spans="1:2" ht="14" x14ac:dyDescent="0.15">
      <c r="A6" s="22" t="s">
        <v>40</v>
      </c>
      <c r="B6" s="22">
        <v>0.92500000000000004</v>
      </c>
    </row>
    <row r="7" spans="1:2" ht="14" x14ac:dyDescent="0.15">
      <c r="A7" s="22" t="s">
        <v>41</v>
      </c>
      <c r="B7" s="22">
        <v>0.93300000000000005</v>
      </c>
    </row>
    <row r="8" spans="1:2" ht="14" x14ac:dyDescent="0.15">
      <c r="A8" s="22" t="s">
        <v>42</v>
      </c>
      <c r="B8" s="22">
        <v>0.871</v>
      </c>
    </row>
    <row r="9" spans="1:2" ht="14" x14ac:dyDescent="0.15">
      <c r="A9" s="22" t="s">
        <v>43</v>
      </c>
      <c r="B9" s="22">
        <v>0.91800000000000004</v>
      </c>
    </row>
    <row r="10" spans="1:2" ht="14" x14ac:dyDescent="0.15">
      <c r="A10" s="22" t="s">
        <v>44</v>
      </c>
      <c r="B10" s="22">
        <v>0.84799999999999998</v>
      </c>
    </row>
    <row r="11" spans="1:2" ht="14" x14ac:dyDescent="0.15">
      <c r="A11" s="22" t="s">
        <v>45</v>
      </c>
      <c r="B11" s="22">
        <v>0.81499999999999995</v>
      </c>
    </row>
    <row r="12" spans="1:2" ht="14" x14ac:dyDescent="0.15">
      <c r="A12" s="22" t="s">
        <v>46</v>
      </c>
      <c r="B12" s="22">
        <v>0.73099999999999998</v>
      </c>
    </row>
    <row r="13" spans="1:2" ht="14" x14ac:dyDescent="0.15">
      <c r="A13" s="22" t="s">
        <v>47</v>
      </c>
      <c r="B13" s="22">
        <v>0.79500000000000004</v>
      </c>
    </row>
    <row r="14" spans="1:2" ht="14" x14ac:dyDescent="0.15">
      <c r="A14" s="22" t="s">
        <v>48</v>
      </c>
      <c r="B14" s="22">
        <v>0.88300000000000001</v>
      </c>
    </row>
    <row r="15" spans="1:2" ht="14" x14ac:dyDescent="0.15">
      <c r="A15" s="22" t="s">
        <v>49</v>
      </c>
      <c r="B15" s="22">
        <v>0.92500000000000004</v>
      </c>
    </row>
    <row r="16" spans="1:2" ht="14" x14ac:dyDescent="0.15">
      <c r="A16" s="22" t="s">
        <v>50</v>
      </c>
      <c r="B16" s="22">
        <v>0.93300000000000005</v>
      </c>
    </row>
    <row r="17" spans="1:2" ht="14" x14ac:dyDescent="0.15">
      <c r="A17" s="22" t="s">
        <v>51</v>
      </c>
      <c r="B17" s="22">
        <v>0.878</v>
      </c>
    </row>
    <row r="18" spans="1:2" ht="14" x14ac:dyDescent="0.15">
      <c r="A18" s="22" t="s">
        <v>52</v>
      </c>
      <c r="B18" s="22">
        <v>0.91300000000000003</v>
      </c>
    </row>
    <row r="19" spans="1:2" ht="14" x14ac:dyDescent="0.15">
      <c r="A19" s="22" t="s">
        <v>53</v>
      </c>
      <c r="B19" s="22">
        <v>0.80300000000000005</v>
      </c>
    </row>
    <row r="20" spans="1:2" ht="14" x14ac:dyDescent="0.15">
      <c r="A20" s="22" t="s">
        <v>54</v>
      </c>
      <c r="B20" s="22">
        <v>0.93500000000000005</v>
      </c>
    </row>
    <row r="21" spans="1:2" ht="14" x14ac:dyDescent="0.15">
      <c r="A21" s="22" t="s">
        <v>55</v>
      </c>
      <c r="B21" s="22">
        <v>0.86499999999999999</v>
      </c>
    </row>
    <row r="22" spans="1:2" ht="14" x14ac:dyDescent="0.15">
      <c r="A22" s="22" t="s">
        <v>56</v>
      </c>
      <c r="B22" s="22">
        <v>0.85799999999999998</v>
      </c>
    </row>
    <row r="23" spans="1:2" ht="14" x14ac:dyDescent="0.15">
      <c r="A23" s="22" t="s">
        <v>57</v>
      </c>
      <c r="B23" s="22">
        <v>0.86399999999999999</v>
      </c>
    </row>
    <row r="24" spans="1:2" ht="14" x14ac:dyDescent="0.15">
      <c r="A24" s="22" t="s">
        <v>58</v>
      </c>
      <c r="B24" s="22">
        <v>0.79400000000000004</v>
      </c>
    </row>
    <row r="25" spans="1:2" ht="14" x14ac:dyDescent="0.15">
      <c r="A25" s="22" t="s">
        <v>59</v>
      </c>
      <c r="B25" s="22">
        <v>0.82099999999999995</v>
      </c>
    </row>
    <row r="26" spans="1:2" ht="14" x14ac:dyDescent="0.15">
      <c r="A26" s="22" t="s">
        <v>60</v>
      </c>
      <c r="B26" s="22">
        <v>0.83099999999999996</v>
      </c>
    </row>
    <row r="27" spans="1:2" ht="14" x14ac:dyDescent="0.15">
      <c r="A27" s="22" t="s">
        <v>61</v>
      </c>
      <c r="B27" s="22">
        <v>0.85799999999999998</v>
      </c>
    </row>
    <row r="28" spans="1:2" ht="14" x14ac:dyDescent="0.15">
      <c r="A28" s="22" t="s">
        <v>62</v>
      </c>
      <c r="B28" s="22">
        <v>0.89200000000000002</v>
      </c>
    </row>
    <row r="29" spans="1:2" ht="14" x14ac:dyDescent="0.15">
      <c r="A29" s="22" t="s">
        <v>63</v>
      </c>
      <c r="B29" s="22">
        <v>1.0900000000000001</v>
      </c>
    </row>
    <row r="30" spans="1:2" ht="14" x14ac:dyDescent="0.15">
      <c r="A30" s="22" t="s">
        <v>64</v>
      </c>
      <c r="B30" s="22">
        <v>1.218</v>
      </c>
    </row>
    <row r="31" spans="1:2" ht="14" x14ac:dyDescent="0.15">
      <c r="A31" s="22" t="s">
        <v>65</v>
      </c>
      <c r="B31" s="22">
        <v>1.0760000000000001</v>
      </c>
    </row>
    <row r="32" spans="1:2" ht="14" x14ac:dyDescent="0.15">
      <c r="A32" s="22" t="s">
        <v>66</v>
      </c>
      <c r="B32" s="22">
        <v>0.86399999999999999</v>
      </c>
    </row>
    <row r="33" spans="1:2" ht="14" x14ac:dyDescent="0.15">
      <c r="A33" s="22" t="s">
        <v>67</v>
      </c>
      <c r="B33" s="22">
        <v>0.79500000000000004</v>
      </c>
    </row>
    <row r="34" spans="1:2" ht="14" x14ac:dyDescent="0.15">
      <c r="A34" s="22" t="s">
        <v>68</v>
      </c>
      <c r="B34" s="22">
        <v>0.72</v>
      </c>
    </row>
    <row r="35" spans="1:2" ht="14" x14ac:dyDescent="0.15">
      <c r="A35" s="22" t="s">
        <v>69</v>
      </c>
      <c r="B35" s="22">
        <v>0.66700000000000004</v>
      </c>
    </row>
    <row r="36" spans="1:2" ht="14" x14ac:dyDescent="0.15">
      <c r="A36" s="22" t="s">
        <v>70</v>
      </c>
      <c r="B36" s="22">
        <v>0.79500000000000004</v>
      </c>
    </row>
    <row r="37" spans="1:2" ht="14" x14ac:dyDescent="0.15">
      <c r="A37" s="22" t="s">
        <v>71</v>
      </c>
      <c r="B37" s="22">
        <v>1.056</v>
      </c>
    </row>
    <row r="38" spans="1:2" ht="14" x14ac:dyDescent="0.15">
      <c r="A38" s="22" t="s">
        <v>72</v>
      </c>
      <c r="B38" s="22">
        <v>0.92600000000000005</v>
      </c>
    </row>
    <row r="39" spans="1:2" ht="14" x14ac:dyDescent="0.15">
      <c r="A39" s="22" t="s">
        <v>73</v>
      </c>
      <c r="B39" s="22">
        <v>0.625</v>
      </c>
    </row>
    <row r="40" spans="1:2" ht="14" x14ac:dyDescent="0.15">
      <c r="A40" s="22" t="s">
        <v>74</v>
      </c>
      <c r="B40" s="22">
        <v>0.72199999999999998</v>
      </c>
    </row>
    <row r="41" spans="1:2" ht="14" x14ac:dyDescent="0.15">
      <c r="A41" s="22" t="s">
        <v>75</v>
      </c>
      <c r="B41" s="22">
        <v>0.69599999999999995</v>
      </c>
    </row>
    <row r="42" spans="1:2" ht="14" x14ac:dyDescent="0.15">
      <c r="A42" s="22" t="s">
        <v>76</v>
      </c>
      <c r="B42" s="22">
        <v>0.86599999999999999</v>
      </c>
    </row>
    <row r="43" spans="1:2" ht="14" x14ac:dyDescent="0.15">
      <c r="A43" s="22" t="s">
        <v>77</v>
      </c>
      <c r="B43" s="22">
        <v>0.84399999999999997</v>
      </c>
    </row>
    <row r="44" spans="1:2" ht="14" x14ac:dyDescent="0.15">
      <c r="A44" s="22" t="s">
        <v>78</v>
      </c>
      <c r="B44" s="22">
        <v>0.93899999999999995</v>
      </c>
    </row>
    <row r="45" spans="1:2" ht="14" x14ac:dyDescent="0.15">
      <c r="A45" s="22" t="s">
        <v>79</v>
      </c>
      <c r="B45" s="22">
        <v>1.4710000000000001</v>
      </c>
    </row>
    <row r="46" spans="1:2" ht="14" x14ac:dyDescent="0.15">
      <c r="A46" s="22" t="s">
        <v>80</v>
      </c>
      <c r="B46" s="22">
        <v>1.3109999999999999</v>
      </c>
    </row>
    <row r="47" spans="1:2" ht="14" x14ac:dyDescent="0.15">
      <c r="A47" s="22" t="s">
        <v>81</v>
      </c>
      <c r="B47" s="22">
        <v>1.0569999999999999</v>
      </c>
    </row>
    <row r="48" spans="1:2" ht="14" x14ac:dyDescent="0.15">
      <c r="A48" s="22" t="s">
        <v>82</v>
      </c>
      <c r="B48" s="22">
        <v>0.93200000000000005</v>
      </c>
    </row>
    <row r="49" spans="1:2" ht="14" x14ac:dyDescent="0.15">
      <c r="A49" s="22" t="s">
        <v>83</v>
      </c>
      <c r="B49" s="22">
        <v>0.89600000000000002</v>
      </c>
    </row>
    <row r="50" spans="1:2" ht="14" x14ac:dyDescent="0.15">
      <c r="A50" s="22" t="s">
        <v>84</v>
      </c>
      <c r="B50" s="22">
        <v>0.95699999999999996</v>
      </c>
    </row>
    <row r="51" spans="1:2" ht="14" x14ac:dyDescent="0.15">
      <c r="A51" s="22" t="s">
        <v>85</v>
      </c>
      <c r="B51" s="22">
        <v>0.82799999999999996</v>
      </c>
    </row>
    <row r="52" spans="1:2" ht="14" x14ac:dyDescent="0.15">
      <c r="A52" s="22" t="s">
        <v>86</v>
      </c>
      <c r="B52" s="22">
        <v>1.0149999999999999</v>
      </c>
    </row>
    <row r="53" spans="1:2" ht="14" x14ac:dyDescent="0.15">
      <c r="A53" s="22" t="s">
        <v>87</v>
      </c>
      <c r="B53" s="22">
        <v>1.105</v>
      </c>
    </row>
    <row r="54" spans="1:2" ht="14" x14ac:dyDescent="0.15">
      <c r="A54" s="22" t="s">
        <v>88</v>
      </c>
      <c r="B54" s="22">
        <v>1.3720000000000001</v>
      </c>
    </row>
    <row r="55" spans="1:2" ht="14" x14ac:dyDescent="0.15">
      <c r="A55" s="22" t="s">
        <v>89</v>
      </c>
      <c r="B55" s="22">
        <v>1.107</v>
      </c>
    </row>
    <row r="56" spans="1:2" ht="14" x14ac:dyDescent="0.15">
      <c r="A56" s="22" t="s">
        <v>90</v>
      </c>
      <c r="B56" s="22">
        <v>0.90100000000000002</v>
      </c>
    </row>
    <row r="57" spans="1:2" ht="14" x14ac:dyDescent="0.15">
      <c r="A57" s="22" t="s">
        <v>91</v>
      </c>
      <c r="B57" s="22">
        <v>0.86699999999999999</v>
      </c>
    </row>
    <row r="58" spans="1:2" ht="14" x14ac:dyDescent="0.15">
      <c r="A58" s="22" t="s">
        <v>92</v>
      </c>
      <c r="B58" s="22">
        <v>0.89400000000000002</v>
      </c>
    </row>
    <row r="59" spans="1:2" ht="14" x14ac:dyDescent="0.15">
      <c r="A59" s="22" t="s">
        <v>93</v>
      </c>
      <c r="B59" s="22">
        <v>0.70599999999999996</v>
      </c>
    </row>
    <row r="60" spans="1:2" ht="14" x14ac:dyDescent="0.15">
      <c r="A60" s="22" t="s">
        <v>94</v>
      </c>
      <c r="B60" s="22">
        <v>0.92100000000000004</v>
      </c>
    </row>
    <row r="61" spans="1:2" ht="14" x14ac:dyDescent="0.15">
      <c r="A61" s="22" t="s">
        <v>95</v>
      </c>
      <c r="B61" s="22">
        <v>0.75800000000000001</v>
      </c>
    </row>
    <row r="62" spans="1:2" ht="14" x14ac:dyDescent="0.15">
      <c r="A62" s="22" t="s">
        <v>96</v>
      </c>
      <c r="B62" s="22">
        <v>1.1919999999999999</v>
      </c>
    </row>
    <row r="63" spans="1:2" ht="14" x14ac:dyDescent="0.15">
      <c r="A63" s="22" t="s">
        <v>97</v>
      </c>
      <c r="B63" s="22">
        <v>1.1180000000000001</v>
      </c>
    </row>
    <row r="64" spans="1:2" ht="14" x14ac:dyDescent="0.15">
      <c r="A64" s="22" t="s">
        <v>98</v>
      </c>
      <c r="B64" s="22">
        <v>0.90800000000000003</v>
      </c>
    </row>
    <row r="65" spans="1:2" ht="14" x14ac:dyDescent="0.15">
      <c r="A65" s="22" t="s">
        <v>99</v>
      </c>
      <c r="B65" s="22">
        <v>0.71799999999999997</v>
      </c>
    </row>
    <row r="66" spans="1:2" ht="14" x14ac:dyDescent="0.15">
      <c r="A66" s="22" t="s">
        <v>100</v>
      </c>
      <c r="B66" s="22">
        <v>0.90200000000000002</v>
      </c>
    </row>
    <row r="67" spans="1:2" ht="14" x14ac:dyDescent="0.15">
      <c r="A67" s="22" t="s">
        <v>101</v>
      </c>
      <c r="B67" s="22">
        <v>0.67400000000000004</v>
      </c>
    </row>
    <row r="68" spans="1:2" ht="14" x14ac:dyDescent="0.15">
      <c r="A68" s="22" t="s">
        <v>102</v>
      </c>
      <c r="B68" s="22">
        <v>0.71599999999999997</v>
      </c>
    </row>
    <row r="69" spans="1:2" ht="14" x14ac:dyDescent="0.15">
      <c r="A69" s="22" t="s">
        <v>103</v>
      </c>
      <c r="B69" s="22">
        <v>0.69299999999999995</v>
      </c>
    </row>
    <row r="70" spans="1:2" ht="14" x14ac:dyDescent="0.15">
      <c r="A70" s="22" t="s">
        <v>104</v>
      </c>
      <c r="B70" s="22">
        <v>1.083</v>
      </c>
    </row>
    <row r="71" spans="1:2" ht="14" x14ac:dyDescent="0.15">
      <c r="A71" s="22" t="s">
        <v>105</v>
      </c>
      <c r="B71" s="22">
        <v>1.0089999999999999</v>
      </c>
    </row>
    <row r="72" spans="1:2" ht="14" x14ac:dyDescent="0.15">
      <c r="A72" s="22" t="s">
        <v>106</v>
      </c>
      <c r="B72" s="22">
        <v>0.64300000000000002</v>
      </c>
    </row>
    <row r="73" spans="1:2" ht="14" x14ac:dyDescent="0.15">
      <c r="A73" s="22" t="s">
        <v>107</v>
      </c>
      <c r="B73" s="22">
        <v>0.55600000000000005</v>
      </c>
    </row>
    <row r="74" spans="1:2" ht="14" x14ac:dyDescent="0.15">
      <c r="A74" s="22" t="s">
        <v>108</v>
      </c>
      <c r="B74" s="22">
        <v>0.99399999999999999</v>
      </c>
    </row>
    <row r="75" spans="1:2" ht="14" x14ac:dyDescent="0.15">
      <c r="A75" s="22" t="s">
        <v>109</v>
      </c>
      <c r="B75" s="22">
        <v>0.876</v>
      </c>
    </row>
    <row r="76" spans="1:2" ht="14" x14ac:dyDescent="0.15">
      <c r="A76" s="22" t="s">
        <v>110</v>
      </c>
      <c r="B76" s="22">
        <v>0.84899999999999998</v>
      </c>
    </row>
    <row r="77" spans="1:2" ht="14" x14ac:dyDescent="0.15">
      <c r="A77" s="22" t="s">
        <v>111</v>
      </c>
      <c r="B77" s="22">
        <v>0.85199999999999998</v>
      </c>
    </row>
    <row r="78" spans="1:2" ht="14" x14ac:dyDescent="0.15">
      <c r="A78" s="22" t="s">
        <v>112</v>
      </c>
      <c r="B78" s="22">
        <v>1.145</v>
      </c>
    </row>
    <row r="79" spans="1:2" ht="14" x14ac:dyDescent="0.15">
      <c r="A79" s="22" t="s">
        <v>113</v>
      </c>
      <c r="B79" s="22">
        <v>1.0469999999999999</v>
      </c>
    </row>
    <row r="80" spans="1:2" ht="14" x14ac:dyDescent="0.15">
      <c r="A80" s="22" t="s">
        <v>114</v>
      </c>
      <c r="B80" s="22">
        <v>0.83299999999999996</v>
      </c>
    </row>
    <row r="81" spans="1:2" ht="14" x14ac:dyDescent="0.15">
      <c r="A81" s="22" t="s">
        <v>115</v>
      </c>
      <c r="B81" s="22">
        <v>0.79700000000000004</v>
      </c>
    </row>
    <row r="82" spans="1:2" ht="14" x14ac:dyDescent="0.15">
      <c r="A82" s="22" t="s">
        <v>116</v>
      </c>
      <c r="B82" s="22">
        <v>0.90200000000000002</v>
      </c>
    </row>
    <row r="83" spans="1:2" ht="14" x14ac:dyDescent="0.15">
      <c r="A83" s="22" t="s">
        <v>117</v>
      </c>
      <c r="B83" s="22">
        <v>0.82099999999999995</v>
      </c>
    </row>
    <row r="84" spans="1:2" ht="14" x14ac:dyDescent="0.15">
      <c r="A84" s="22" t="s">
        <v>118</v>
      </c>
      <c r="B84" s="22">
        <v>0.72799999999999998</v>
      </c>
    </row>
    <row r="85" spans="1:2" ht="14" x14ac:dyDescent="0.15">
      <c r="A85" s="22" t="s">
        <v>119</v>
      </c>
      <c r="B85" s="22">
        <v>0.76200000000000001</v>
      </c>
    </row>
    <row r="86" spans="1:2" ht="14" x14ac:dyDescent="0.15">
      <c r="A86" s="22" t="s">
        <v>120</v>
      </c>
      <c r="B86" s="22">
        <v>0.77200000000000002</v>
      </c>
    </row>
    <row r="87" spans="1:2" ht="14" x14ac:dyDescent="0.15">
      <c r="A87" s="22" t="s">
        <v>121</v>
      </c>
      <c r="B87" s="22">
        <v>0.79800000000000004</v>
      </c>
    </row>
    <row r="88" spans="1:2" ht="14" x14ac:dyDescent="0.15">
      <c r="A88" s="22" t="s">
        <v>122</v>
      </c>
      <c r="B88" s="22">
        <v>0.94</v>
      </c>
    </row>
    <row r="89" spans="1:2" ht="14" x14ac:dyDescent="0.15">
      <c r="A89" s="22" t="s">
        <v>123</v>
      </c>
      <c r="B89" s="22">
        <v>0.96599999999999997</v>
      </c>
    </row>
    <row r="90" spans="1:2" ht="14" x14ac:dyDescent="0.15">
      <c r="A90" s="22" t="s">
        <v>124</v>
      </c>
      <c r="B90" s="22">
        <v>1.028</v>
      </c>
    </row>
    <row r="91" spans="1:2" ht="14" x14ac:dyDescent="0.15">
      <c r="A91" s="22" t="s">
        <v>125</v>
      </c>
      <c r="B91" s="22">
        <v>0.95199999999999996</v>
      </c>
    </row>
    <row r="92" spans="1:2" ht="14" x14ac:dyDescent="0.15">
      <c r="A92" s="22" t="s">
        <v>126</v>
      </c>
      <c r="B92" s="22">
        <v>0.86</v>
      </c>
    </row>
    <row r="93" spans="1:2" ht="14" x14ac:dyDescent="0.15">
      <c r="A93" s="22" t="s">
        <v>127</v>
      </c>
      <c r="B93" s="22">
        <v>0.86399999999999999</v>
      </c>
    </row>
    <row r="94" spans="1:2" ht="14" x14ac:dyDescent="0.15">
      <c r="A94" s="22" t="s">
        <v>128</v>
      </c>
      <c r="B94" s="22">
        <v>0.83799999999999997</v>
      </c>
    </row>
    <row r="95" spans="1:2" ht="14" x14ac:dyDescent="0.15">
      <c r="A95" s="22" t="s">
        <v>129</v>
      </c>
      <c r="B95" s="22">
        <v>0.81699999999999995</v>
      </c>
    </row>
    <row r="96" spans="1:2" ht="14" x14ac:dyDescent="0.15">
      <c r="A96" s="22" t="s">
        <v>130</v>
      </c>
      <c r="B96" s="22">
        <v>0.83199999999999996</v>
      </c>
    </row>
    <row r="97" spans="1:2" ht="14" x14ac:dyDescent="0.15">
      <c r="A97" s="22" t="s">
        <v>131</v>
      </c>
      <c r="B97" s="22">
        <v>0.83899999999999997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7A65-49C3-0547-AFE1-0D7B94669F64}">
  <dimension ref="B1:S49"/>
  <sheetViews>
    <sheetView tabSelected="1" workbookViewId="0">
      <selection activeCell="H25" sqref="H25"/>
    </sheetView>
  </sheetViews>
  <sheetFormatPr baseColWidth="10" defaultRowHeight="13" x14ac:dyDescent="0.15"/>
  <cols>
    <col min="18" max="18" width="89.33203125" style="61" customWidth="1"/>
  </cols>
  <sheetData>
    <row r="1" spans="2:19" ht="24" x14ac:dyDescent="0.3">
      <c r="B1" s="46" t="s">
        <v>168</v>
      </c>
      <c r="D1" s="46"/>
      <c r="F1" s="46" t="s">
        <v>169</v>
      </c>
      <c r="H1" s="46"/>
      <c r="I1" s="46" t="s">
        <v>170</v>
      </c>
      <c r="J1" s="46"/>
      <c r="K1" s="46"/>
      <c r="L1" s="46"/>
      <c r="M1" s="46"/>
      <c r="N1" s="46"/>
    </row>
    <row r="2" spans="2:19" ht="24" x14ac:dyDescent="0.3">
      <c r="B2" s="46"/>
      <c r="C2" s="46" t="s">
        <v>171</v>
      </c>
      <c r="D2" s="46"/>
      <c r="E2" s="46"/>
      <c r="F2" s="46" t="s">
        <v>242</v>
      </c>
      <c r="G2" s="46"/>
      <c r="H2" s="46"/>
      <c r="I2" s="46"/>
      <c r="J2" s="46"/>
      <c r="K2" s="46"/>
      <c r="L2" s="46"/>
      <c r="M2" s="46"/>
      <c r="N2" s="46"/>
    </row>
    <row r="3" spans="2:19" ht="25" x14ac:dyDescent="0.3">
      <c r="B3" s="46"/>
      <c r="C3" s="47">
        <v>1</v>
      </c>
      <c r="D3" s="47">
        <v>2</v>
      </c>
      <c r="E3" s="47">
        <v>3</v>
      </c>
      <c r="F3" s="47">
        <v>4</v>
      </c>
      <c r="G3" s="47">
        <v>5</v>
      </c>
      <c r="H3" s="47">
        <v>6</v>
      </c>
      <c r="I3" s="47">
        <v>7</v>
      </c>
      <c r="J3" s="47">
        <v>8</v>
      </c>
      <c r="K3" s="47">
        <v>9</v>
      </c>
      <c r="L3" s="47">
        <v>10</v>
      </c>
      <c r="M3" s="47">
        <v>11</v>
      </c>
      <c r="N3" s="47">
        <v>12</v>
      </c>
      <c r="P3" s="46" t="s">
        <v>241</v>
      </c>
      <c r="Q3" s="46"/>
      <c r="R3" s="62" t="s">
        <v>243</v>
      </c>
      <c r="S3" s="46" t="s">
        <v>244</v>
      </c>
    </row>
    <row r="4" spans="2:19" ht="25" x14ac:dyDescent="0.3">
      <c r="B4" s="51" t="s">
        <v>27</v>
      </c>
      <c r="C4" s="48" t="s">
        <v>135</v>
      </c>
      <c r="D4" s="48" t="s">
        <v>136</v>
      </c>
      <c r="E4" s="49" t="s">
        <v>137</v>
      </c>
      <c r="F4" s="49" t="s">
        <v>138</v>
      </c>
      <c r="G4" s="49" t="s">
        <v>172</v>
      </c>
      <c r="H4" s="52" t="s">
        <v>173</v>
      </c>
      <c r="I4" s="53" t="s">
        <v>174</v>
      </c>
      <c r="J4" s="53" t="s">
        <v>175</v>
      </c>
      <c r="K4" s="53" t="s">
        <v>176</v>
      </c>
      <c r="L4" s="53" t="s">
        <v>177</v>
      </c>
      <c r="M4" s="53" t="s">
        <v>178</v>
      </c>
      <c r="N4" s="54" t="s">
        <v>179</v>
      </c>
      <c r="P4" s="49" t="s">
        <v>143</v>
      </c>
      <c r="Q4" s="46">
        <v>37.54</v>
      </c>
      <c r="R4" s="62" t="s">
        <v>245</v>
      </c>
      <c r="S4" s="46" t="s">
        <v>246</v>
      </c>
    </row>
    <row r="5" spans="2:19" ht="25" x14ac:dyDescent="0.3">
      <c r="B5" s="51" t="s">
        <v>28</v>
      </c>
      <c r="C5" s="48" t="s">
        <v>139</v>
      </c>
      <c r="D5" s="48" t="s">
        <v>140</v>
      </c>
      <c r="E5" s="49" t="s">
        <v>141</v>
      </c>
      <c r="F5" s="49" t="s">
        <v>142</v>
      </c>
      <c r="G5" s="49" t="s">
        <v>180</v>
      </c>
      <c r="H5" s="52" t="s">
        <v>181</v>
      </c>
      <c r="I5" s="53" t="s">
        <v>182</v>
      </c>
      <c r="J5" s="53" t="s">
        <v>183</v>
      </c>
      <c r="K5" s="53" t="s">
        <v>184</v>
      </c>
      <c r="L5" s="53" t="s">
        <v>185</v>
      </c>
      <c r="M5" s="53" t="s">
        <v>186</v>
      </c>
      <c r="N5" s="54" t="s">
        <v>187</v>
      </c>
      <c r="P5" s="49" t="s">
        <v>159</v>
      </c>
      <c r="Q5" s="46">
        <v>63.16</v>
      </c>
      <c r="R5" s="62" t="s">
        <v>247</v>
      </c>
      <c r="S5" s="46" t="s">
        <v>248</v>
      </c>
    </row>
    <row r="6" spans="2:19" ht="25" x14ac:dyDescent="0.3">
      <c r="B6" s="51" t="s">
        <v>29</v>
      </c>
      <c r="C6" s="49" t="s">
        <v>143</v>
      </c>
      <c r="D6" s="49" t="s">
        <v>144</v>
      </c>
      <c r="E6" s="49" t="s">
        <v>145</v>
      </c>
      <c r="F6" s="49" t="s">
        <v>146</v>
      </c>
      <c r="G6" s="49" t="s">
        <v>188</v>
      </c>
      <c r="H6" s="52" t="s">
        <v>189</v>
      </c>
      <c r="I6" s="53" t="s">
        <v>190</v>
      </c>
      <c r="J6" s="53" t="s">
        <v>191</v>
      </c>
      <c r="K6" s="53" t="s">
        <v>192</v>
      </c>
      <c r="L6" s="53" t="s">
        <v>193</v>
      </c>
      <c r="M6" s="53" t="s">
        <v>194</v>
      </c>
      <c r="N6" s="54" t="s">
        <v>195</v>
      </c>
      <c r="P6" s="48" t="s">
        <v>136</v>
      </c>
      <c r="Q6" s="60">
        <v>19.561403508771939</v>
      </c>
      <c r="R6" s="62" t="s">
        <v>249</v>
      </c>
      <c r="S6" s="46" t="s">
        <v>250</v>
      </c>
    </row>
    <row r="7" spans="2:19" ht="25" x14ac:dyDescent="0.3">
      <c r="B7" s="51" t="s">
        <v>30</v>
      </c>
      <c r="C7" s="49" t="s">
        <v>147</v>
      </c>
      <c r="D7" s="49" t="s">
        <v>148</v>
      </c>
      <c r="E7" s="49" t="s">
        <v>149</v>
      </c>
      <c r="F7" s="49" t="s">
        <v>150</v>
      </c>
      <c r="G7" s="49" t="s">
        <v>196</v>
      </c>
      <c r="H7" s="52" t="s">
        <v>197</v>
      </c>
      <c r="I7" s="53" t="s">
        <v>198</v>
      </c>
      <c r="J7" s="53" t="s">
        <v>199</v>
      </c>
      <c r="K7" s="53" t="s">
        <v>200</v>
      </c>
      <c r="L7" s="53" t="s">
        <v>201</v>
      </c>
      <c r="M7" s="55" t="s">
        <v>202</v>
      </c>
      <c r="N7" s="54" t="s">
        <v>203</v>
      </c>
      <c r="P7" s="48" t="s">
        <v>140</v>
      </c>
      <c r="Q7" s="60">
        <v>26.447368421052641</v>
      </c>
      <c r="R7" s="62" t="s">
        <v>251</v>
      </c>
      <c r="S7" s="46" t="s">
        <v>252</v>
      </c>
    </row>
    <row r="8" spans="2:19" ht="25" x14ac:dyDescent="0.3">
      <c r="B8" s="51" t="s">
        <v>31</v>
      </c>
      <c r="C8" s="49" t="s">
        <v>151</v>
      </c>
      <c r="D8" s="49" t="s">
        <v>152</v>
      </c>
      <c r="E8" s="49" t="s">
        <v>153</v>
      </c>
      <c r="F8" s="49" t="s">
        <v>154</v>
      </c>
      <c r="G8" s="49" t="s">
        <v>204</v>
      </c>
      <c r="H8" s="52" t="s">
        <v>205</v>
      </c>
      <c r="I8" s="53" t="s">
        <v>206</v>
      </c>
      <c r="J8" s="53" t="s">
        <v>207</v>
      </c>
      <c r="K8" s="53" t="s">
        <v>208</v>
      </c>
      <c r="L8" s="53" t="s">
        <v>209</v>
      </c>
      <c r="M8" s="55" t="s">
        <v>210</v>
      </c>
      <c r="N8" s="54" t="s">
        <v>211</v>
      </c>
      <c r="P8" s="52" t="s">
        <v>173</v>
      </c>
      <c r="Q8" s="60">
        <v>29.629629629629626</v>
      </c>
      <c r="R8" s="62" t="s">
        <v>253</v>
      </c>
      <c r="S8" s="46" t="s">
        <v>254</v>
      </c>
    </row>
    <row r="9" spans="2:19" ht="25" x14ac:dyDescent="0.3">
      <c r="B9" s="51" t="s">
        <v>32</v>
      </c>
      <c r="C9" s="49" t="s">
        <v>155</v>
      </c>
      <c r="D9" s="49" t="s">
        <v>156</v>
      </c>
      <c r="E9" s="49" t="s">
        <v>157</v>
      </c>
      <c r="F9" s="49" t="s">
        <v>158</v>
      </c>
      <c r="G9" s="49" t="s">
        <v>212</v>
      </c>
      <c r="H9" s="52" t="s">
        <v>213</v>
      </c>
      <c r="I9" s="53" t="s">
        <v>214</v>
      </c>
      <c r="J9" s="53" t="s">
        <v>215</v>
      </c>
      <c r="K9" s="53" t="s">
        <v>216</v>
      </c>
      <c r="L9" s="53" t="s">
        <v>217</v>
      </c>
      <c r="M9" s="55" t="s">
        <v>218</v>
      </c>
      <c r="N9" s="54" t="s">
        <v>219</v>
      </c>
      <c r="P9" s="52" t="s">
        <v>181</v>
      </c>
      <c r="Q9" s="60">
        <v>44.855967078189288</v>
      </c>
      <c r="R9" s="62" t="s">
        <v>255</v>
      </c>
      <c r="S9" s="46" t="s">
        <v>256</v>
      </c>
    </row>
    <row r="10" spans="2:19" ht="25" x14ac:dyDescent="0.3">
      <c r="B10" s="51" t="s">
        <v>33</v>
      </c>
      <c r="C10" s="49" t="s">
        <v>159</v>
      </c>
      <c r="D10" s="49" t="s">
        <v>160</v>
      </c>
      <c r="E10" s="49" t="s">
        <v>161</v>
      </c>
      <c r="F10" s="49" t="s">
        <v>162</v>
      </c>
      <c r="G10" s="49" t="s">
        <v>220</v>
      </c>
      <c r="H10" s="53" t="s">
        <v>221</v>
      </c>
      <c r="I10" s="53" t="s">
        <v>222</v>
      </c>
      <c r="J10" s="53" t="s">
        <v>223</v>
      </c>
      <c r="K10" s="53" t="s">
        <v>224</v>
      </c>
      <c r="L10" s="53" t="s">
        <v>225</v>
      </c>
      <c r="M10" s="55" t="s">
        <v>226</v>
      </c>
      <c r="N10" s="54" t="s">
        <v>227</v>
      </c>
      <c r="P10" s="52" t="s">
        <v>213</v>
      </c>
      <c r="Q10" s="60">
        <v>20.370370370370374</v>
      </c>
      <c r="R10" s="62" t="s">
        <v>257</v>
      </c>
      <c r="S10" s="46" t="s">
        <v>258</v>
      </c>
    </row>
    <row r="11" spans="2:19" ht="25" x14ac:dyDescent="0.3">
      <c r="B11" s="51" t="s">
        <v>34</v>
      </c>
      <c r="C11" s="50" t="s">
        <v>163</v>
      </c>
      <c r="D11" s="50" t="s">
        <v>164</v>
      </c>
      <c r="E11" s="50" t="s">
        <v>165</v>
      </c>
      <c r="F11" s="50" t="s">
        <v>166</v>
      </c>
      <c r="G11" s="50" t="s">
        <v>163</v>
      </c>
      <c r="H11" s="49" t="s">
        <v>228</v>
      </c>
      <c r="I11" s="50" t="s">
        <v>163</v>
      </c>
      <c r="J11" s="50" t="s">
        <v>163</v>
      </c>
      <c r="K11" s="50" t="s">
        <v>163</v>
      </c>
      <c r="L11" s="50" t="s">
        <v>229</v>
      </c>
      <c r="M11" s="54" t="s">
        <v>230</v>
      </c>
      <c r="N11" s="54" t="s">
        <v>231</v>
      </c>
      <c r="P11" s="53" t="s">
        <v>221</v>
      </c>
      <c r="Q11" s="60">
        <v>24.485596707818946</v>
      </c>
      <c r="R11" s="62" t="s">
        <v>259</v>
      </c>
      <c r="S11" s="46" t="s">
        <v>260</v>
      </c>
    </row>
    <row r="12" spans="2:19" ht="25" x14ac:dyDescent="0.3">
      <c r="P12" s="53" t="s">
        <v>174</v>
      </c>
      <c r="Q12" s="60">
        <v>33.148148148148152</v>
      </c>
      <c r="R12" s="62" t="s">
        <v>261</v>
      </c>
      <c r="S12" s="46" t="s">
        <v>262</v>
      </c>
    </row>
    <row r="13" spans="2:19" ht="25" x14ac:dyDescent="0.3">
      <c r="B13" s="5" t="s">
        <v>167</v>
      </c>
      <c r="C13" s="6">
        <v>1</v>
      </c>
      <c r="D13" s="6">
        <v>2</v>
      </c>
      <c r="E13" s="6">
        <v>3</v>
      </c>
      <c r="F13" s="6">
        <v>4</v>
      </c>
      <c r="G13" s="6">
        <v>5</v>
      </c>
      <c r="H13" s="6">
        <v>6</v>
      </c>
      <c r="I13" s="6">
        <v>7</v>
      </c>
      <c r="J13" s="6">
        <v>8</v>
      </c>
      <c r="K13" s="6">
        <v>9</v>
      </c>
      <c r="L13" s="6">
        <v>10</v>
      </c>
      <c r="M13" s="6">
        <v>11</v>
      </c>
      <c r="N13" s="6">
        <v>12</v>
      </c>
      <c r="P13" s="53" t="s">
        <v>182</v>
      </c>
      <c r="Q13" s="60">
        <v>40.617283950617292</v>
      </c>
      <c r="R13" s="62" t="s">
        <v>263</v>
      </c>
      <c r="S13" s="46" t="s">
        <v>264</v>
      </c>
    </row>
    <row r="14" spans="2:19" ht="25" x14ac:dyDescent="0.3">
      <c r="B14" s="6" t="s">
        <v>27</v>
      </c>
      <c r="C14" s="45">
        <v>0.872</v>
      </c>
      <c r="D14" s="45">
        <v>0.71133333333333326</v>
      </c>
      <c r="E14" s="45">
        <v>0.77033333333333331</v>
      </c>
      <c r="F14" s="45">
        <v>0.86233333333333329</v>
      </c>
      <c r="G14" s="45">
        <v>0.89633333333333332</v>
      </c>
      <c r="H14" s="45">
        <v>0.67</v>
      </c>
      <c r="I14" s="45">
        <v>0.64149999999999996</v>
      </c>
      <c r="J14" s="45">
        <v>0.90333333333333332</v>
      </c>
      <c r="K14" s="45">
        <v>0.88200000000000001</v>
      </c>
      <c r="L14" s="45">
        <v>0.80566666666666664</v>
      </c>
      <c r="M14" s="45">
        <v>0.91766666666666674</v>
      </c>
      <c r="N14" s="45">
        <v>0.97466666666666668</v>
      </c>
      <c r="P14" s="53" t="s">
        <v>186</v>
      </c>
      <c r="Q14" s="60">
        <v>17.402597402597415</v>
      </c>
      <c r="R14" s="62" t="s">
        <v>265</v>
      </c>
      <c r="S14" s="46" t="s">
        <v>266</v>
      </c>
    </row>
    <row r="15" spans="2:19" ht="25" x14ac:dyDescent="0.3">
      <c r="B15" s="6" t="s">
        <v>28</v>
      </c>
      <c r="C15" s="45">
        <v>0.83433333333333337</v>
      </c>
      <c r="D15" s="45">
        <v>0.65899999999999992</v>
      </c>
      <c r="E15" s="45">
        <v>0.79933333333333334</v>
      </c>
      <c r="F15" s="45">
        <v>0.7636666666666666</v>
      </c>
      <c r="G15" s="45">
        <v>0.80166666666666664</v>
      </c>
      <c r="H15" s="45">
        <v>0.54666666666666675</v>
      </c>
      <c r="I15" s="45">
        <v>0.58099999999999996</v>
      </c>
      <c r="J15" s="45">
        <v>0.86900000000000011</v>
      </c>
      <c r="K15" s="45">
        <v>0.83566666666666667</v>
      </c>
      <c r="L15" s="45">
        <v>0.78966666666666663</v>
      </c>
      <c r="M15" s="45">
        <v>0.73599999999999988</v>
      </c>
      <c r="N15" s="45">
        <v>0.88300000000000001</v>
      </c>
      <c r="P15" s="54" t="s">
        <v>230</v>
      </c>
      <c r="Q15" s="60">
        <v>20.303030303030301</v>
      </c>
      <c r="R15" s="62" t="s">
        <v>267</v>
      </c>
      <c r="S15" s="46" t="s">
        <v>268</v>
      </c>
    </row>
    <row r="16" spans="2:19" ht="14" x14ac:dyDescent="0.15">
      <c r="B16" s="6" t="s">
        <v>29</v>
      </c>
      <c r="C16" s="45">
        <v>0.57466666666666677</v>
      </c>
      <c r="D16" s="45">
        <v>0.95166666666666666</v>
      </c>
      <c r="E16" s="45">
        <v>0.87666666666666659</v>
      </c>
      <c r="F16" s="45">
        <v>0.91533333333333344</v>
      </c>
      <c r="G16" s="45">
        <v>0.83399999999999996</v>
      </c>
      <c r="H16" s="45">
        <v>0.8783333333333333</v>
      </c>
      <c r="I16" s="45">
        <v>0.92049999999999998</v>
      </c>
      <c r="J16" s="45">
        <v>1.0223333333333333</v>
      </c>
      <c r="K16" s="45">
        <v>0.85766666666666669</v>
      </c>
      <c r="L16" s="45">
        <v>0.8753333333333333</v>
      </c>
      <c r="M16" s="45">
        <v>0.88400000000000001</v>
      </c>
      <c r="N16" s="45">
        <v>0.81233333333333324</v>
      </c>
    </row>
    <row r="17" spans="2:14" ht="14" x14ac:dyDescent="0.15">
      <c r="B17" s="6" t="s">
        <v>30</v>
      </c>
      <c r="C17" s="45">
        <v>0.8879999999999999</v>
      </c>
      <c r="D17" s="45">
        <v>0.75666666666666671</v>
      </c>
      <c r="E17" s="45">
        <v>0.8676666666666667</v>
      </c>
      <c r="F17" s="45">
        <v>0.86366666666666658</v>
      </c>
      <c r="G17" s="45">
        <v>0.86033333333333328</v>
      </c>
      <c r="H17" s="45">
        <v>0.80233333333333334</v>
      </c>
      <c r="I17" s="45">
        <v>0.89349999999999996</v>
      </c>
      <c r="J17" s="45">
        <v>0.97099999999999997</v>
      </c>
      <c r="K17" s="45">
        <v>0.83766666666666667</v>
      </c>
      <c r="L17" s="45">
        <v>1.2056666666666667</v>
      </c>
      <c r="M17" s="45">
        <v>0.85199999999999998</v>
      </c>
      <c r="N17" s="45">
        <v>0.82599999999999996</v>
      </c>
    </row>
    <row r="18" spans="2:14" ht="14" x14ac:dyDescent="0.15">
      <c r="B18" s="6" t="s">
        <v>31</v>
      </c>
      <c r="C18" s="45">
        <v>0.91199999999999992</v>
      </c>
      <c r="D18" s="45">
        <v>0.8843333333333333</v>
      </c>
      <c r="E18" s="45">
        <v>0.94266666666666665</v>
      </c>
      <c r="F18" s="45">
        <v>0.82733333333333325</v>
      </c>
      <c r="G18" s="45">
        <v>0.91100000000000003</v>
      </c>
      <c r="H18" s="45">
        <v>0.93433333333333335</v>
      </c>
      <c r="I18" s="45">
        <v>1.056</v>
      </c>
      <c r="J18" s="45">
        <v>0.96366666666666667</v>
      </c>
      <c r="K18" s="45">
        <v>0.8886666666666666</v>
      </c>
      <c r="L18" s="45">
        <v>1.1516666666666666</v>
      </c>
      <c r="M18" s="45">
        <v>1.2156666666666667</v>
      </c>
      <c r="N18" s="45">
        <v>0.91833333333333333</v>
      </c>
    </row>
    <row r="19" spans="2:14" ht="14" x14ac:dyDescent="0.15">
      <c r="B19" s="6" t="s">
        <v>32</v>
      </c>
      <c r="C19" s="45">
        <v>0.95833333333333337</v>
      </c>
      <c r="D19" s="45">
        <v>0.84150000000000003</v>
      </c>
      <c r="E19" s="45">
        <v>0.95966666666666667</v>
      </c>
      <c r="F19" s="45">
        <v>0.86799999999999999</v>
      </c>
      <c r="G19" s="45">
        <v>0.9</v>
      </c>
      <c r="H19" s="45">
        <v>0.745</v>
      </c>
      <c r="I19" s="45">
        <v>0.88149999999999995</v>
      </c>
      <c r="J19" s="45">
        <v>0.91833333333333333</v>
      </c>
      <c r="K19" s="45">
        <v>0.90733333333333333</v>
      </c>
      <c r="L19" s="45">
        <v>0.91933333333333334</v>
      </c>
      <c r="M19" s="45">
        <v>1.0780000000000001</v>
      </c>
      <c r="N19" s="45">
        <v>0.88733333333333331</v>
      </c>
    </row>
    <row r="20" spans="2:14" ht="14" x14ac:dyDescent="0.15">
      <c r="B20" s="6" t="s">
        <v>33</v>
      </c>
      <c r="C20" s="45">
        <v>0.37999999999999995</v>
      </c>
      <c r="D20" s="45">
        <v>0.81599999999999995</v>
      </c>
      <c r="E20" s="45">
        <v>0.8886666666666666</v>
      </c>
      <c r="F20" s="45">
        <v>0.84900000000000009</v>
      </c>
      <c r="G20" s="45">
        <v>0.93966666666666665</v>
      </c>
      <c r="H20" s="45">
        <v>0.71166666666666656</v>
      </c>
      <c r="I20" s="45">
        <v>0.80099999999999993</v>
      </c>
      <c r="J20" s="45">
        <v>0.92266666666666675</v>
      </c>
      <c r="K20" s="45">
        <v>0.86599999999999999</v>
      </c>
      <c r="L20" s="45">
        <v>0.83933333333333326</v>
      </c>
      <c r="M20" s="45">
        <v>0.81733333333333336</v>
      </c>
      <c r="N20" s="45">
        <v>0.86833333333333329</v>
      </c>
    </row>
    <row r="21" spans="2:14" ht="14" x14ac:dyDescent="0.15">
      <c r="B21" s="6" t="s">
        <v>34</v>
      </c>
      <c r="C21" s="56">
        <v>0.86366666666666669</v>
      </c>
      <c r="D21" s="45">
        <v>0.76700000000000002</v>
      </c>
      <c r="E21" s="45">
        <v>0.86033333333333351</v>
      </c>
      <c r="F21" s="45">
        <v>0.88099999999999989</v>
      </c>
      <c r="G21" s="56">
        <v>0.91066666666666662</v>
      </c>
      <c r="H21" s="45">
        <v>0.85266666666666657</v>
      </c>
      <c r="I21" s="56">
        <v>0.10299999999999999</v>
      </c>
      <c r="J21" s="56">
        <v>9.8333333333333328E-2</v>
      </c>
      <c r="K21" s="56">
        <v>0.87233333333333329</v>
      </c>
      <c r="L21" s="45">
        <v>0.79566666666666663</v>
      </c>
      <c r="M21" s="45">
        <v>0.71366666666666667</v>
      </c>
      <c r="N21" s="45">
        <v>0.86733333333333329</v>
      </c>
    </row>
    <row r="24" spans="2:14" ht="14" x14ac:dyDescent="0.15">
      <c r="B24" s="5" t="s">
        <v>232</v>
      </c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2:14" ht="14" x14ac:dyDescent="0.15">
      <c r="B25" s="6" t="s">
        <v>27</v>
      </c>
      <c r="C25" s="45">
        <f>(0.86-C14)/(0.86-0.1)*100</f>
        <v>-1.578947368421054</v>
      </c>
      <c r="D25" s="45">
        <f t="shared" ref="D25:F25" si="0">(0.86-D14)/(0.86-0.1)*100</f>
        <v>19.561403508771939</v>
      </c>
      <c r="E25" s="45">
        <f t="shared" si="0"/>
        <v>11.798245614035089</v>
      </c>
      <c r="F25" s="45">
        <f t="shared" si="0"/>
        <v>-0.30701754385964453</v>
      </c>
      <c r="G25" s="45">
        <f>(0.91-G14)/(0.91-0.1)*100</f>
        <v>1.6872427983539156</v>
      </c>
      <c r="H25" s="45">
        <f t="shared" ref="H25:J25" si="1">(0.91-H14)/(0.91-0.1)*100</f>
        <v>29.629629629629626</v>
      </c>
      <c r="I25" s="45">
        <f t="shared" si="1"/>
        <v>33.148148148148152</v>
      </c>
      <c r="J25" s="45">
        <f t="shared" si="1"/>
        <v>0.82304526748971718</v>
      </c>
      <c r="K25" s="45">
        <f>(0.87-K14)/(0.87-0.1)*100</f>
        <v>-1.5584415584415598</v>
      </c>
      <c r="L25" s="45">
        <f t="shared" ref="L25:N25" si="2">(0.87-L14)/(0.87-0.1)*100</f>
        <v>8.3549783549783569</v>
      </c>
      <c r="M25" s="45">
        <f t="shared" si="2"/>
        <v>-6.1904761904762005</v>
      </c>
      <c r="N25" s="45">
        <f t="shared" si="2"/>
        <v>-13.593073593073596</v>
      </c>
    </row>
    <row r="26" spans="2:14" ht="14" x14ac:dyDescent="0.15">
      <c r="B26" s="6" t="s">
        <v>28</v>
      </c>
      <c r="C26" s="45">
        <f t="shared" ref="C26:F32" si="3">(0.86-C15)/(0.86-0.1)*100</f>
        <v>3.3771929824561333</v>
      </c>
      <c r="D26" s="45">
        <f t="shared" si="3"/>
        <v>26.447368421052641</v>
      </c>
      <c r="E26" s="45">
        <f t="shared" si="3"/>
        <v>7.982456140350874</v>
      </c>
      <c r="F26" s="45">
        <f t="shared" si="3"/>
        <v>12.675438596491235</v>
      </c>
      <c r="G26" s="45">
        <f t="shared" ref="G26:J26" si="4">(0.91-G15)/(0.91-0.1)*100</f>
        <v>13.374485596707824</v>
      </c>
      <c r="H26" s="45">
        <f t="shared" si="4"/>
        <v>44.855967078189288</v>
      </c>
      <c r="I26" s="45">
        <f t="shared" si="4"/>
        <v>40.617283950617292</v>
      </c>
      <c r="J26" s="45">
        <f t="shared" si="4"/>
        <v>5.0617283950617189</v>
      </c>
      <c r="K26" s="45">
        <f t="shared" ref="K26:N26" si="5">(0.87-K15)/(0.87-0.1)*100</f>
        <v>4.4588744588744582</v>
      </c>
      <c r="L26" s="45">
        <f t="shared" si="5"/>
        <v>10.432900432900437</v>
      </c>
      <c r="M26" s="45">
        <f>(0.87-M15)/(0.87-0.1)*100</f>
        <v>17.402597402597415</v>
      </c>
      <c r="N26" s="45">
        <f t="shared" si="5"/>
        <v>-1.68831168831169</v>
      </c>
    </row>
    <row r="27" spans="2:14" ht="14" x14ac:dyDescent="0.15">
      <c r="B27" s="6" t="s">
        <v>29</v>
      </c>
      <c r="C27" s="45">
        <f t="shared" si="3"/>
        <v>37.543859649122794</v>
      </c>
      <c r="D27" s="45">
        <f t="shared" si="3"/>
        <v>-12.061403508771932</v>
      </c>
      <c r="E27" s="45">
        <f t="shared" si="3"/>
        <v>-2.192982456140343</v>
      </c>
      <c r="F27" s="45">
        <f t="shared" si="3"/>
        <v>-7.2807017543859809</v>
      </c>
      <c r="G27" s="45">
        <f t="shared" ref="G27:J27" si="6">(0.91-G16)/(0.91-0.1)*100</f>
        <v>9.382716049382724</v>
      </c>
      <c r="H27" s="45">
        <f t="shared" si="6"/>
        <v>3.9094650205761394</v>
      </c>
      <c r="I27" s="45">
        <f t="shared" si="6"/>
        <v>-1.2962962962962905</v>
      </c>
      <c r="J27" s="45">
        <f t="shared" si="6"/>
        <v>-13.86831275720164</v>
      </c>
      <c r="K27" s="45">
        <f t="shared" ref="K27:N27" si="7">(0.87-K16)/(0.87-0.1)*100</f>
        <v>1.6017316017315981</v>
      </c>
      <c r="L27" s="45">
        <f t="shared" si="7"/>
        <v>-0.6926406926406885</v>
      </c>
      <c r="M27" s="45">
        <f t="shared" si="7"/>
        <v>-1.8181818181818199</v>
      </c>
      <c r="N27" s="45">
        <f t="shared" si="7"/>
        <v>7.4891774891775009</v>
      </c>
    </row>
    <row r="28" spans="2:14" ht="14" x14ac:dyDescent="0.15">
      <c r="B28" s="6" t="s">
        <v>30</v>
      </c>
      <c r="C28" s="45">
        <f t="shared" si="3"/>
        <v>-3.6842105263157778</v>
      </c>
      <c r="D28" s="45">
        <f t="shared" si="3"/>
        <v>13.596491228070168</v>
      </c>
      <c r="E28" s="45">
        <f t="shared" si="3"/>
        <v>-1.0087719298245672</v>
      </c>
      <c r="F28" s="45">
        <f t="shared" si="3"/>
        <v>-0.48245614035086787</v>
      </c>
      <c r="G28" s="45">
        <f t="shared" ref="G28:J28" si="8">(0.91-G17)/(0.91-0.1)*100</f>
        <v>6.131687242798364</v>
      </c>
      <c r="H28" s="45">
        <f t="shared" si="8"/>
        <v>13.292181069958851</v>
      </c>
      <c r="I28" s="45">
        <f t="shared" si="8"/>
        <v>2.0370370370370456</v>
      </c>
      <c r="J28" s="45">
        <f t="shared" si="8"/>
        <v>-7.5308641975308568</v>
      </c>
      <c r="K28" s="45">
        <f t="shared" ref="K28:N28" si="9">(0.87-K17)/(0.87-0.1)*100</f>
        <v>4.1991341991341979</v>
      </c>
      <c r="L28" s="45">
        <f t="shared" si="9"/>
        <v>-43.593073593073598</v>
      </c>
      <c r="M28" s="45">
        <f t="shared" si="9"/>
        <v>2.3376623376623398</v>
      </c>
      <c r="N28" s="45">
        <f t="shared" si="9"/>
        <v>5.7142857142857189</v>
      </c>
    </row>
    <row r="29" spans="2:14" ht="14" x14ac:dyDescent="0.15">
      <c r="B29" s="6" t="s">
        <v>31</v>
      </c>
      <c r="C29" s="45">
        <f t="shared" si="3"/>
        <v>-6.8421052631578858</v>
      </c>
      <c r="D29" s="45">
        <f t="shared" si="3"/>
        <v>-3.2017543859649105</v>
      </c>
      <c r="E29" s="45">
        <f t="shared" si="3"/>
        <v>-10.877192982456139</v>
      </c>
      <c r="F29" s="45">
        <f t="shared" si="3"/>
        <v>4.2982456140350962</v>
      </c>
      <c r="G29" s="45">
        <f t="shared" ref="G29:J29" si="10">(0.91-G18)/(0.91-0.1)*100</f>
        <v>-0.12345679012345689</v>
      </c>
      <c r="H29" s="45">
        <f t="shared" si="10"/>
        <v>-3.0041152263374467</v>
      </c>
      <c r="I29" s="45">
        <f t="shared" si="10"/>
        <v>-18.02469135802469</v>
      </c>
      <c r="J29" s="45">
        <f t="shared" si="10"/>
        <v>-6.6255144032921782</v>
      </c>
      <c r="K29" s="45">
        <f t="shared" ref="K29:N29" si="11">(0.87-K18)/(0.87-0.1)*100</f>
        <v>-2.4242424242424168</v>
      </c>
      <c r="L29" s="45">
        <f t="shared" si="11"/>
        <v>-36.580086580086572</v>
      </c>
      <c r="M29" s="45">
        <f t="shared" si="11"/>
        <v>-44.891774891774894</v>
      </c>
      <c r="N29" s="45">
        <f t="shared" si="11"/>
        <v>-6.2770562770562783</v>
      </c>
    </row>
    <row r="30" spans="2:14" ht="14" x14ac:dyDescent="0.15">
      <c r="B30" s="6" t="s">
        <v>32</v>
      </c>
      <c r="C30" s="45">
        <f t="shared" si="3"/>
        <v>-12.938596491228077</v>
      </c>
      <c r="D30" s="45">
        <f t="shared" si="3"/>
        <v>2.4342105263157841</v>
      </c>
      <c r="E30" s="45">
        <f t="shared" si="3"/>
        <v>-13.1140350877193</v>
      </c>
      <c r="F30" s="45">
        <f t="shared" si="3"/>
        <v>-1.0526315789473693</v>
      </c>
      <c r="G30" s="45">
        <f t="shared" ref="G30:J30" si="12">(0.91-G19)/(0.91-0.1)*100</f>
        <v>1.2345679012345689</v>
      </c>
      <c r="H30" s="45">
        <f t="shared" si="12"/>
        <v>20.370370370370374</v>
      </c>
      <c r="I30" s="45">
        <f t="shared" si="12"/>
        <v>3.5185185185185284</v>
      </c>
      <c r="J30" s="45">
        <f t="shared" si="12"/>
        <v>-1.0288065843621363</v>
      </c>
      <c r="K30" s="45">
        <f t="shared" ref="K30:N30" si="13">(0.87-K19)/(0.87-0.1)*100</f>
        <v>-4.8484848484848477</v>
      </c>
      <c r="L30" s="45">
        <f t="shared" si="13"/>
        <v>-6.4069264069264085</v>
      </c>
      <c r="M30" s="45">
        <f t="shared" si="13"/>
        <v>-27.012987012987022</v>
      </c>
      <c r="N30" s="45">
        <f t="shared" si="13"/>
        <v>-2.2510822510822481</v>
      </c>
    </row>
    <row r="31" spans="2:14" ht="14" x14ac:dyDescent="0.15">
      <c r="B31" s="6" t="s">
        <v>33</v>
      </c>
      <c r="C31" s="45">
        <f t="shared" si="3"/>
        <v>63.15789473684211</v>
      </c>
      <c r="D31" s="45">
        <f t="shared" si="3"/>
        <v>5.789473684210531</v>
      </c>
      <c r="E31" s="45">
        <f t="shared" si="3"/>
        <v>-3.771929824561397</v>
      </c>
      <c r="F31" s="45">
        <f t="shared" si="3"/>
        <v>1.4473684210526183</v>
      </c>
      <c r="G31" s="45">
        <f t="shared" ref="G31:J32" si="14">(0.91-G20)/(0.91-0.1)*100</f>
        <v>-3.6625514403292119</v>
      </c>
      <c r="H31" s="45">
        <f t="shared" si="14"/>
        <v>24.485596707818946</v>
      </c>
      <c r="I31" s="45">
        <f t="shared" si="14"/>
        <v>13.456790123456802</v>
      </c>
      <c r="J31" s="45">
        <f t="shared" si="14"/>
        <v>-1.5637860082304587</v>
      </c>
      <c r="K31" s="45">
        <f t="shared" ref="K31:N32" si="15">(0.87-K20)/(0.87-0.1)*100</f>
        <v>0.51948051948051988</v>
      </c>
      <c r="L31" s="45">
        <f t="shared" si="15"/>
        <v>3.9826839826839913</v>
      </c>
      <c r="M31" s="45">
        <f t="shared" si="15"/>
        <v>6.839826839826836</v>
      </c>
      <c r="N31" s="45">
        <f t="shared" si="15"/>
        <v>0.21645021645022144</v>
      </c>
    </row>
    <row r="32" spans="2:14" ht="14" x14ac:dyDescent="0.15">
      <c r="B32" s="6" t="s">
        <v>34</v>
      </c>
      <c r="C32" s="56"/>
      <c r="D32" s="45">
        <f t="shared" si="3"/>
        <v>12.236842105263154</v>
      </c>
      <c r="E32" s="45">
        <f t="shared" si="3"/>
        <v>-4.3859649122831405E-2</v>
      </c>
      <c r="F32" s="45">
        <f t="shared" si="3"/>
        <v>-2.76315789473683</v>
      </c>
      <c r="G32" s="56"/>
      <c r="H32" s="45">
        <f t="shared" si="14"/>
        <v>7.0781893004115375</v>
      </c>
      <c r="I32" s="56"/>
      <c r="J32" s="56"/>
      <c r="K32" s="56"/>
      <c r="L32" s="45">
        <f t="shared" si="15"/>
        <v>9.6536796536796565</v>
      </c>
      <c r="M32" s="45">
        <f t="shared" si="15"/>
        <v>20.303030303030301</v>
      </c>
      <c r="N32" s="45">
        <f t="shared" si="15"/>
        <v>0.34632034632035141</v>
      </c>
    </row>
    <row r="43" spans="2:10" ht="16" x14ac:dyDescent="0.2">
      <c r="B43" s="57" t="s">
        <v>233</v>
      </c>
      <c r="C43" s="58"/>
      <c r="D43" s="58"/>
      <c r="E43" s="58"/>
      <c r="F43" s="58"/>
      <c r="G43" s="58"/>
      <c r="H43" s="58"/>
      <c r="I43" s="58"/>
      <c r="J43" s="58"/>
    </row>
    <row r="44" spans="2:10" ht="16" x14ac:dyDescent="0.2">
      <c r="B44" s="59" t="s">
        <v>234</v>
      </c>
      <c r="C44" s="58"/>
    </row>
    <row r="45" spans="2:10" ht="16" x14ac:dyDescent="0.2">
      <c r="B45" s="59" t="s">
        <v>235</v>
      </c>
      <c r="C45" s="58"/>
      <c r="D45" s="58"/>
      <c r="E45" s="58"/>
      <c r="F45" s="58"/>
      <c r="G45" s="58"/>
      <c r="H45" s="58"/>
    </row>
    <row r="46" spans="2:10" ht="16" x14ac:dyDescent="0.2">
      <c r="B46" s="59" t="s">
        <v>236</v>
      </c>
      <c r="C46" s="58"/>
      <c r="D46" s="58"/>
      <c r="E46" s="58"/>
      <c r="F46" s="58"/>
      <c r="G46" s="58"/>
      <c r="H46" s="58"/>
    </row>
    <row r="47" spans="2:10" ht="16" x14ac:dyDescent="0.2">
      <c r="B47" s="59" t="s">
        <v>237</v>
      </c>
      <c r="C47" s="58"/>
      <c r="D47" s="58"/>
    </row>
    <row r="48" spans="2:10" ht="16" x14ac:dyDescent="0.2">
      <c r="B48" s="59" t="s">
        <v>238</v>
      </c>
      <c r="C48" s="58"/>
      <c r="D48" s="58"/>
      <c r="E48" s="58"/>
      <c r="F48" s="58"/>
    </row>
    <row r="49" spans="2:5" ht="16" x14ac:dyDescent="0.2">
      <c r="B49" s="59" t="s">
        <v>239</v>
      </c>
      <c r="C49" s="58"/>
      <c r="D49" s="58"/>
      <c r="E49" s="58"/>
    </row>
  </sheetData>
  <conditionalFormatting sqref="C25:N32">
    <cfRule type="cellIs" dxfId="2" priority="1" operator="greaterThan">
      <formula>15</formula>
    </cfRule>
    <cfRule type="cellIs" dxfId="1" priority="5" operator="greaterThan">
      <formula>15</formula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2">
    <cfRule type="cellIs" dxfId="0" priority="2" operator="greaterThan">
      <formula>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Plate 1 - Sheet1</vt:lpstr>
      <vt:lpstr>Sheet1</vt:lpstr>
      <vt:lpstr>Plate 2 - Sheet1</vt:lpstr>
      <vt:lpstr>Sheet3</vt:lpstr>
      <vt:lpstr>Plate 3 - Sheet1</vt:lpstr>
      <vt:lpstr>Sheet5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denef-lab</dc:creator>
  <cp:lastModifiedBy>Yu-Ting Kao</cp:lastModifiedBy>
  <dcterms:created xsi:type="dcterms:W3CDTF">2011-01-18T20:51:17Z</dcterms:created>
  <dcterms:modified xsi:type="dcterms:W3CDTF">2025-08-31T15:10:57Z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